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บิว/"/>
    </mc:Choice>
  </mc:AlternateContent>
  <xr:revisionPtr revIDLastSave="2081" documentId="13_ncr:1_{464B3290-9691-4C5C-AEEA-78CCDDB86490}" xr6:coauthVersionLast="47" xr6:coauthVersionMax="47" xr10:uidLastSave="{C39574CC-D8F7-49AB-A8E3-03476E07DBBE}"/>
  <bookViews>
    <workbookView xWindow="-108" yWindow="-108" windowWidth="23256" windowHeight="12456" tabRatio="722" xr2:uid="{00000000-000D-0000-FFFF-FFFF00000000}"/>
  </bookViews>
  <sheets>
    <sheet name="001-EC-HR-HRBP-Job Information " sheetId="1" r:id="rId1"/>
    <sheet name="Note" sheetId="3" r:id="rId2"/>
    <sheet name="skill_metrix" sheetId="2" r:id="rId3"/>
    <sheet name="Sheet1" sheetId="4" r:id="rId4"/>
  </sheets>
  <definedNames>
    <definedName name="_xlnm._FilterDatabase" localSheetId="0" hidden="1">'001-EC-HR-HRBP-Job Information '!$A$2:$AP$459</definedName>
    <definedName name="_xlnm._FilterDatabase" localSheetId="3" hidden="1">Sheet1!$AE$1:$AJ$84</definedName>
    <definedName name="_xlnm._FilterDatabase" localSheetId="2" hidden="1">skill_metrix!$A$1:$E$324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9" i="1" l="1"/>
  <c r="F458" i="1"/>
  <c r="F457" i="1"/>
  <c r="F456" i="1"/>
  <c r="F148" i="1"/>
  <c r="F125" i="1"/>
  <c r="F126" i="1"/>
  <c r="F127" i="1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3" i="4"/>
  <c r="AB1" i="4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Z247" i="1"/>
  <c r="F288" i="1"/>
  <c r="F285" i="1"/>
  <c r="F293" i="1"/>
  <c r="F292" i="1"/>
  <c r="F287" i="1"/>
  <c r="F291" i="1"/>
  <c r="F289" i="1"/>
  <c r="F290" i="1"/>
  <c r="F286" i="1"/>
  <c r="F294" i="1"/>
  <c r="F300" i="1"/>
  <c r="F297" i="1"/>
  <c r="F298" i="1"/>
  <c r="F296" i="1"/>
  <c r="F301" i="1"/>
  <c r="F299" i="1"/>
  <c r="F295" i="1"/>
  <c r="F305" i="1"/>
  <c r="F253" i="1"/>
  <c r="F206" i="1"/>
  <c r="F407" i="1"/>
  <c r="F230" i="1"/>
  <c r="F214" i="1"/>
  <c r="F211" i="1"/>
  <c r="F213" i="1"/>
  <c r="F212" i="1"/>
  <c r="F207" i="1"/>
  <c r="F216" i="1"/>
  <c r="F229" i="1"/>
  <c r="F228" i="1"/>
  <c r="F227" i="1"/>
  <c r="F219" i="1"/>
  <c r="F215" i="1"/>
  <c r="F210" i="1"/>
  <c r="F209" i="1"/>
  <c r="F208" i="1"/>
  <c r="F222" i="1"/>
  <c r="F218" i="1"/>
  <c r="F302" i="1"/>
  <c r="F217" i="1"/>
  <c r="F224" i="1"/>
  <c r="F221" i="1"/>
  <c r="F223" i="1"/>
  <c r="F234" i="1"/>
  <c r="F231" i="1"/>
  <c r="F236" i="1"/>
  <c r="F238" i="1"/>
  <c r="F233" i="1"/>
  <c r="F239" i="1"/>
  <c r="F240" i="1"/>
  <c r="F232" i="1"/>
  <c r="F241" i="1"/>
  <c r="F237" i="1"/>
  <c r="F205" i="1"/>
  <c r="F235" i="1"/>
  <c r="F226" i="1"/>
  <c r="F271" i="1"/>
  <c r="F277" i="1"/>
  <c r="F270" i="1"/>
  <c r="F279" i="1"/>
  <c r="F278" i="1"/>
  <c r="F273" i="1"/>
  <c r="F276" i="1"/>
  <c r="F275" i="1"/>
  <c r="F282" i="1"/>
  <c r="F281" i="1"/>
  <c r="F280" i="1"/>
  <c r="F283" i="1"/>
  <c r="F272" i="1"/>
  <c r="F274" i="1"/>
  <c r="F284" i="1"/>
  <c r="F204" i="1"/>
  <c r="F304" i="1"/>
  <c r="F203" i="1"/>
  <c r="F307" i="1"/>
  <c r="F202" i="1"/>
  <c r="F303" i="1"/>
  <c r="F306" i="1"/>
  <c r="F91" i="1"/>
  <c r="F69" i="1"/>
  <c r="F85" i="1"/>
  <c r="F74" i="1"/>
  <c r="F73" i="1"/>
  <c r="F77" i="1"/>
  <c r="F76" i="1"/>
  <c r="F78" i="1"/>
  <c r="F72" i="1"/>
  <c r="F26" i="1"/>
  <c r="F18" i="1"/>
  <c r="F70" i="1"/>
  <c r="F60" i="1"/>
  <c r="F90" i="1"/>
  <c r="F75" i="1"/>
  <c r="F81" i="1"/>
  <c r="F68" i="1"/>
  <c r="F67" i="1"/>
  <c r="F4" i="1"/>
  <c r="F33" i="1"/>
  <c r="F29" i="1"/>
  <c r="F20" i="1"/>
  <c r="F40" i="1"/>
  <c r="F34" i="1"/>
  <c r="F32" i="1"/>
  <c r="F36" i="1"/>
  <c r="F35" i="1"/>
  <c r="F37" i="1"/>
  <c r="F39" i="1"/>
  <c r="F22" i="1"/>
  <c r="F27" i="1"/>
  <c r="F24" i="1"/>
  <c r="F23" i="1"/>
  <c r="F25" i="1"/>
  <c r="F7" i="1"/>
  <c r="F41" i="1"/>
  <c r="F21" i="1"/>
  <c r="F28" i="1"/>
  <c r="F82" i="1"/>
  <c r="F87" i="1"/>
  <c r="F84" i="1"/>
  <c r="F92" i="1"/>
  <c r="F89" i="1"/>
  <c r="F88" i="1"/>
  <c r="F50" i="1"/>
  <c r="F44" i="1"/>
  <c r="F48" i="1"/>
  <c r="F52" i="1"/>
  <c r="F49" i="1"/>
  <c r="F56" i="1"/>
  <c r="F55" i="1"/>
  <c r="F43" i="1"/>
  <c r="F71" i="1"/>
  <c r="F45" i="1"/>
  <c r="F46" i="1"/>
  <c r="F47" i="1"/>
  <c r="F42" i="1"/>
  <c r="F61" i="1"/>
  <c r="F59" i="1"/>
  <c r="F10" i="1"/>
  <c r="F13" i="1"/>
  <c r="F14" i="1"/>
  <c r="F11" i="1"/>
  <c r="F9" i="1"/>
  <c r="F8" i="1"/>
  <c r="F15" i="1"/>
  <c r="F12" i="1"/>
  <c r="F16" i="1"/>
  <c r="F79" i="1"/>
  <c r="F3" i="1"/>
  <c r="F5" i="1"/>
  <c r="F83" i="1"/>
  <c r="F6" i="1"/>
  <c r="F86" i="1"/>
  <c r="F63" i="1"/>
  <c r="F53" i="1"/>
  <c r="F58" i="1"/>
  <c r="F64" i="1"/>
  <c r="F62" i="1"/>
  <c r="F51" i="1"/>
  <c r="F65" i="1"/>
  <c r="F66" i="1"/>
  <c r="F109" i="1"/>
  <c r="F110" i="1"/>
  <c r="F95" i="1"/>
  <c r="F96" i="1"/>
  <c r="F97" i="1"/>
  <c r="F102" i="1"/>
  <c r="F104" i="1"/>
  <c r="F108" i="1"/>
  <c r="F106" i="1"/>
  <c r="F101" i="1"/>
  <c r="F93" i="1"/>
  <c r="F103" i="1"/>
  <c r="F111" i="1"/>
  <c r="F94" i="1"/>
  <c r="F100" i="1"/>
  <c r="F105" i="1"/>
  <c r="F107" i="1"/>
  <c r="F112" i="1"/>
  <c r="F99" i="1"/>
  <c r="F98" i="1"/>
  <c r="F143" i="1"/>
  <c r="F151" i="1"/>
  <c r="F152" i="1"/>
  <c r="F128" i="1"/>
  <c r="F122" i="1"/>
  <c r="F141" i="1"/>
  <c r="F129" i="1"/>
  <c r="F116" i="1"/>
  <c r="F147" i="1"/>
  <c r="F138" i="1"/>
  <c r="F140" i="1"/>
  <c r="F132" i="1"/>
  <c r="F115" i="1"/>
  <c r="F155" i="1"/>
  <c r="F118" i="1"/>
  <c r="F137" i="1"/>
  <c r="F119" i="1"/>
  <c r="F114" i="1"/>
  <c r="F153" i="1"/>
  <c r="F131" i="1"/>
  <c r="F130" i="1"/>
  <c r="F124" i="1"/>
  <c r="F156" i="1"/>
  <c r="F117" i="1"/>
  <c r="F123" i="1"/>
  <c r="F113" i="1"/>
  <c r="F134" i="1"/>
  <c r="F121" i="1"/>
  <c r="F120" i="1"/>
  <c r="F133" i="1"/>
  <c r="F136" i="1"/>
  <c r="F135" i="1"/>
  <c r="F158" i="1"/>
  <c r="F159" i="1"/>
  <c r="F139" i="1"/>
  <c r="F146" i="1"/>
  <c r="F144" i="1"/>
  <c r="F142" i="1"/>
  <c r="F157" i="1"/>
  <c r="F145" i="1"/>
  <c r="F154" i="1"/>
  <c r="F150" i="1"/>
  <c r="F149" i="1"/>
  <c r="F164" i="1"/>
  <c r="F169" i="1"/>
  <c r="F160" i="1"/>
  <c r="F161" i="1"/>
  <c r="F163" i="1"/>
  <c r="F162" i="1"/>
  <c r="F167" i="1"/>
  <c r="F165" i="1"/>
  <c r="F170" i="1"/>
  <c r="F172" i="1"/>
  <c r="F166" i="1"/>
  <c r="F171" i="1"/>
  <c r="F168" i="1"/>
  <c r="F201" i="1"/>
  <c r="F199" i="1"/>
  <c r="F175" i="1"/>
  <c r="F178" i="1"/>
  <c r="F190" i="1"/>
  <c r="F180" i="1"/>
  <c r="F187" i="1"/>
  <c r="F179" i="1"/>
  <c r="F173" i="1"/>
  <c r="F198" i="1"/>
  <c r="F195" i="1"/>
  <c r="F184" i="1"/>
  <c r="F183" i="1"/>
  <c r="F174" i="1"/>
  <c r="F192" i="1"/>
  <c r="F188" i="1"/>
  <c r="F197" i="1"/>
  <c r="F177" i="1"/>
  <c r="F194" i="1"/>
  <c r="F191" i="1"/>
  <c r="F185" i="1"/>
  <c r="F186" i="1"/>
  <c r="F182" i="1"/>
  <c r="F189" i="1"/>
  <c r="F196" i="1"/>
  <c r="F193" i="1"/>
  <c r="F200" i="1"/>
  <c r="F310" i="1"/>
  <c r="F309" i="1"/>
  <c r="F320" i="1"/>
  <c r="F325" i="1"/>
  <c r="F319" i="1"/>
  <c r="F318" i="1"/>
  <c r="F326" i="1"/>
  <c r="F321" i="1"/>
  <c r="F314" i="1"/>
  <c r="F316" i="1"/>
  <c r="F308" i="1"/>
  <c r="F322" i="1"/>
  <c r="F328" i="1"/>
  <c r="F311" i="1"/>
  <c r="F327" i="1"/>
  <c r="F324" i="1"/>
  <c r="F329" i="1"/>
  <c r="F323" i="1"/>
  <c r="F312" i="1"/>
  <c r="F330" i="1"/>
  <c r="F333" i="1"/>
  <c r="F331" i="1"/>
  <c r="F332" i="1"/>
  <c r="F403" i="1"/>
  <c r="F365" i="1"/>
  <c r="F363" i="1"/>
  <c r="F359" i="1"/>
  <c r="F334" i="1"/>
  <c r="F360" i="1"/>
  <c r="F354" i="1"/>
  <c r="F364" i="1"/>
  <c r="F352" i="1"/>
  <c r="F353" i="1"/>
  <c r="F362" i="1"/>
  <c r="F361" i="1"/>
  <c r="F355" i="1"/>
  <c r="F358" i="1"/>
  <c r="F357" i="1"/>
  <c r="F366" i="1"/>
  <c r="F390" i="1"/>
  <c r="F367" i="1"/>
  <c r="F386" i="1"/>
  <c r="F368" i="1"/>
  <c r="F401" i="1"/>
  <c r="F342" i="1"/>
  <c r="F341" i="1"/>
  <c r="F344" i="1"/>
  <c r="F345" i="1"/>
  <c r="F336" i="1"/>
  <c r="F349" i="1"/>
  <c r="F335" i="1"/>
  <c r="F340" i="1"/>
  <c r="F343" i="1"/>
  <c r="F346" i="1"/>
  <c r="F347" i="1"/>
  <c r="F356" i="1"/>
  <c r="F395" i="1"/>
  <c r="F381" i="1"/>
  <c r="F382" i="1"/>
  <c r="F378" i="1"/>
  <c r="F373" i="1"/>
  <c r="F377" i="1"/>
  <c r="F371" i="1"/>
  <c r="F370" i="1"/>
  <c r="F380" i="1"/>
  <c r="F372" i="1"/>
  <c r="F375" i="1"/>
  <c r="F376" i="1"/>
  <c r="F385" i="1"/>
  <c r="F398" i="1"/>
  <c r="F394" i="1"/>
  <c r="F384" i="1"/>
  <c r="F387" i="1"/>
  <c r="F391" i="1"/>
  <c r="F393" i="1"/>
  <c r="F392" i="1"/>
  <c r="F399" i="1"/>
  <c r="F400" i="1"/>
  <c r="F396" i="1"/>
  <c r="F397" i="1"/>
  <c r="F379" i="1"/>
  <c r="F369" i="1"/>
  <c r="F383" i="1"/>
  <c r="F338" i="1"/>
  <c r="F339" i="1"/>
  <c r="F337" i="1"/>
  <c r="F389" i="1"/>
  <c r="F388" i="1"/>
  <c r="F374" i="1"/>
  <c r="F351" i="1"/>
  <c r="F350" i="1"/>
  <c r="F348" i="1"/>
  <c r="F402" i="1"/>
  <c r="F405" i="1"/>
  <c r="F409" i="1"/>
  <c r="F406" i="1"/>
  <c r="F410" i="1"/>
  <c r="F408" i="1"/>
  <c r="F411" i="1"/>
  <c r="F414" i="1"/>
  <c r="F412" i="1"/>
  <c r="F415" i="1"/>
  <c r="F416" i="1"/>
  <c r="F413" i="1"/>
  <c r="F419" i="1"/>
  <c r="F418" i="1"/>
  <c r="F417" i="1"/>
  <c r="F421" i="1"/>
  <c r="F422" i="1"/>
  <c r="F426" i="1"/>
  <c r="F425" i="1"/>
  <c r="F420" i="1"/>
  <c r="F423" i="1"/>
  <c r="F424" i="1"/>
  <c r="F438" i="1"/>
  <c r="F436" i="1"/>
  <c r="F428" i="1"/>
  <c r="F434" i="1"/>
  <c r="F432" i="1"/>
  <c r="F431" i="1"/>
  <c r="F445" i="1"/>
  <c r="F450" i="1"/>
  <c r="F446" i="1"/>
  <c r="F449" i="1"/>
  <c r="F448" i="1"/>
  <c r="F437" i="1"/>
  <c r="F429" i="1"/>
  <c r="F433" i="1"/>
  <c r="F440" i="1"/>
  <c r="F442" i="1"/>
  <c r="F430" i="1"/>
  <c r="F443" i="1"/>
  <c r="F439" i="1"/>
  <c r="F427" i="1"/>
  <c r="F444" i="1"/>
  <c r="F435" i="1"/>
  <c r="F447" i="1"/>
  <c r="F441" i="1"/>
  <c r="F451" i="1"/>
  <c r="F452" i="1"/>
  <c r="F453" i="1"/>
  <c r="F454" i="1"/>
  <c r="F455" i="1"/>
  <c r="F220" i="1"/>
  <c r="F225" i="1"/>
  <c r="F250" i="1"/>
  <c r="F248" i="1"/>
  <c r="F242" i="1"/>
  <c r="F245" i="1"/>
  <c r="F243" i="1"/>
  <c r="F249" i="1"/>
  <c r="F252" i="1"/>
  <c r="F247" i="1"/>
  <c r="F251" i="1"/>
  <c r="F244" i="1"/>
  <c r="F263" i="1"/>
  <c r="F255" i="1"/>
  <c r="F265" i="1"/>
  <c r="F254" i="1"/>
  <c r="F260" i="1"/>
  <c r="F264" i="1"/>
  <c r="F267" i="1"/>
  <c r="F262" i="1"/>
  <c r="F266" i="1"/>
  <c r="F261" i="1"/>
  <c r="F257" i="1"/>
  <c r="F259" i="1"/>
  <c r="F258" i="1"/>
  <c r="F256" i="1"/>
  <c r="F404" i="1"/>
  <c r="F269" i="1"/>
  <c r="F268" i="1"/>
  <c r="F246" i="1"/>
  <c r="Z246" i="1"/>
  <c r="Z253" i="1"/>
  <c r="Z263" i="1"/>
  <c r="Z206" i="1"/>
  <c r="Z407" i="1"/>
  <c r="Z230" i="1"/>
  <c r="Z214" i="1"/>
  <c r="Z211" i="1"/>
  <c r="Z213" i="1"/>
  <c r="Z212" i="1"/>
  <c r="Z207" i="1"/>
  <c r="Z216" i="1"/>
  <c r="Z229" i="1"/>
  <c r="Z228" i="1"/>
  <c r="Z227" i="1"/>
  <c r="Z219" i="1"/>
  <c r="Z215" i="1"/>
  <c r="Z210" i="1"/>
  <c r="Z209" i="1"/>
  <c r="Z208" i="1"/>
  <c r="Z222" i="1"/>
  <c r="Z218" i="1"/>
  <c r="Z302" i="1"/>
  <c r="Z217" i="1"/>
  <c r="Z224" i="1"/>
  <c r="Z221" i="1"/>
  <c r="Z223" i="1"/>
  <c r="Z234" i="1"/>
  <c r="Z231" i="1"/>
  <c r="Z236" i="1"/>
  <c r="Z238" i="1"/>
  <c r="Z233" i="1"/>
  <c r="Z239" i="1"/>
  <c r="Z240" i="1"/>
  <c r="Z232" i="1"/>
  <c r="Z241" i="1"/>
  <c r="Z237" i="1"/>
  <c r="Z205" i="1"/>
  <c r="Z235" i="1"/>
  <c r="Z226" i="1"/>
  <c r="Z271" i="1"/>
  <c r="Z277" i="1"/>
  <c r="Z270" i="1"/>
  <c r="Z279" i="1"/>
  <c r="Z278" i="1"/>
  <c r="Z273" i="1"/>
  <c r="Z276" i="1"/>
  <c r="Z275" i="1"/>
  <c r="Z282" i="1"/>
  <c r="Z281" i="1"/>
  <c r="Z280" i="1"/>
  <c r="Z283" i="1"/>
  <c r="Z272" i="1"/>
  <c r="Z274" i="1"/>
  <c r="Z305" i="1"/>
  <c r="Z255" i="1"/>
  <c r="Z250" i="1"/>
  <c r="Z269" i="1"/>
  <c r="Z248" i="1"/>
  <c r="Z287" i="1"/>
  <c r="Z242" i="1"/>
  <c r="Z258" i="1"/>
  <c r="Z265" i="1"/>
  <c r="Z244" i="1"/>
  <c r="Z254" i="1"/>
  <c r="Z260" i="1"/>
  <c r="Z203" i="1"/>
  <c r="Z245" i="1"/>
  <c r="Z243" i="1"/>
  <c r="Z249" i="1"/>
  <c r="Z288" i="1"/>
  <c r="Z285" i="1"/>
  <c r="Z284" i="1"/>
  <c r="Z204" i="1"/>
  <c r="Z256" i="1"/>
  <c r="Z294" i="1"/>
  <c r="Z307" i="1"/>
  <c r="Z202" i="1"/>
  <c r="Z268" i="1"/>
  <c r="Z293" i="1"/>
  <c r="Z300" i="1"/>
  <c r="Z292" i="1"/>
  <c r="Z297" i="1"/>
  <c r="Z291" i="1"/>
  <c r="Z252" i="1"/>
  <c r="Z298" i="1"/>
  <c r="Z264" i="1"/>
  <c r="Z296" i="1"/>
  <c r="Z289" i="1"/>
  <c r="Z301" i="1"/>
  <c r="Z267" i="1"/>
  <c r="Z299" i="1"/>
  <c r="Z251" i="1"/>
  <c r="Z262" i="1"/>
  <c r="Z266" i="1"/>
  <c r="Z261" i="1"/>
  <c r="Z304" i="1"/>
  <c r="Z303" i="1"/>
  <c r="Z259" i="1"/>
  <c r="Z306" i="1"/>
  <c r="Z257" i="1"/>
</calcChain>
</file>

<file path=xl/sharedStrings.xml><?xml version="1.0" encoding="utf-8"?>
<sst xmlns="http://schemas.openxmlformats.org/spreadsheetml/2006/main" count="10505" uniqueCount="2384">
  <si>
    <t>Skill ใส่ช่องนี้นะ</t>
  </si>
  <si>
    <t>กะ 1</t>
  </si>
  <si>
    <t>กะ 2</t>
  </si>
  <si>
    <t>กะ 3</t>
  </si>
  <si>
    <t>No.</t>
  </si>
  <si>
    <t>User ID (Job Information)</t>
  </si>
  <si>
    <t>ID card Salutation (TH)</t>
  </si>
  <si>
    <t>First Name (Local)</t>
  </si>
  <si>
    <t>Last Name (Local)</t>
  </si>
  <si>
    <t>ชื่อ นามสกุล</t>
  </si>
  <si>
    <t>First Name (EN) (Personal Information)</t>
  </si>
  <si>
    <t>Last Name (EN) (Personal Information)</t>
  </si>
  <si>
    <t>Username</t>
  </si>
  <si>
    <t>Employment Status</t>
  </si>
  <si>
    <t>CAL_HireDate</t>
  </si>
  <si>
    <t>Name (Employment Type)</t>
  </si>
  <si>
    <t>Probation</t>
  </si>
  <si>
    <t>Pass Probation</t>
  </si>
  <si>
    <t>Expect_Pass_Probation_DT</t>
  </si>
  <si>
    <t>Pass_Probation_DT</t>
  </si>
  <si>
    <t>Code (Position)</t>
  </si>
  <si>
    <t>Title (Position)</t>
  </si>
  <si>
    <t>หน่วยงาน</t>
  </si>
  <si>
    <t>Name (Section)</t>
  </si>
  <si>
    <t>District (EN)</t>
  </si>
  <si>
    <t>Province (EN)</t>
  </si>
  <si>
    <t>Nationality Country/Region</t>
  </si>
  <si>
    <t>Step</t>
  </si>
  <si>
    <t>skill_metrix</t>
  </si>
  <si>
    <t>หา ค.สามารถ</t>
  </si>
  <si>
    <t>SKILL CF</t>
  </si>
  <si>
    <t>วันหยุด
ประจำสัปดาห์</t>
  </si>
  <si>
    <t>หมายเหตุ</t>
  </si>
  <si>
    <t>อยู่กะไหน</t>
  </si>
  <si>
    <t>สลับกะวันไหน</t>
  </si>
  <si>
    <t>สลับยังไง</t>
  </si>
  <si>
    <t>เวลาเริ่ม</t>
  </si>
  <si>
    <t>เวลาออก</t>
  </si>
  <si>
    <t>OT+-</t>
  </si>
  <si>
    <t>นางสาว</t>
  </si>
  <si>
    <t>สุดารัตน์</t>
  </si>
  <si>
    <t>สิงห์กล้า</t>
  </si>
  <si>
    <t>SUDARAT</t>
  </si>
  <si>
    <t>SINGKLA</t>
  </si>
  <si>
    <t>SUDARAT.SIG</t>
  </si>
  <si>
    <t>ทำงานอยู่</t>
  </si>
  <si>
    <t>19/5/2018</t>
  </si>
  <si>
    <t>รายเดือน</t>
  </si>
  <si>
    <t>ใช่</t>
  </si>
  <si>
    <t>15/9/2018</t>
  </si>
  <si>
    <t>ผู้ปฏิบัติการ (รับสินค้า (Confirm))</t>
  </si>
  <si>
    <t>งานคลังสินค้า</t>
  </si>
  <si>
    <t>โรงงานชำแหละและตัดแต่งสุกรพระพุทธบาท</t>
  </si>
  <si>
    <t>Phra Phutthabat</t>
  </si>
  <si>
    <t>Saraburi</t>
  </si>
  <si>
    <t>ไทย</t>
  </si>
  <si>
    <t>คลัง</t>
  </si>
  <si>
    <t>picking</t>
  </si>
  <si>
    <t>อ</t>
  </si>
  <si>
    <t>กะ1</t>
  </si>
  <si>
    <t>นาง</t>
  </si>
  <si>
    <t>โชติกา</t>
  </si>
  <si>
    <t>นาคสุทธิ์</t>
  </si>
  <si>
    <t>CHOTIKA</t>
  </si>
  <si>
    <t>NAKSUD</t>
  </si>
  <si>
    <t>18/10/2019</t>
  </si>
  <si>
    <t>รายวัน</t>
  </si>
  <si>
    <t>14/2/2020</t>
  </si>
  <si>
    <t>ผู้ปฏิบัติการ (จ่ายชิ้นส่วน-D)</t>
  </si>
  <si>
    <t>พฤ</t>
  </si>
  <si>
    <t>ธมนพัชร์</t>
  </si>
  <si>
    <t>วงศ์สุนันท์</t>
  </si>
  <si>
    <t>THAMONPACH</t>
  </si>
  <si>
    <t>WONGSUNAN</t>
  </si>
  <si>
    <t>THAMONPACH.WON</t>
  </si>
  <si>
    <t>30/5/2020</t>
  </si>
  <si>
    <t>ศ</t>
  </si>
  <si>
    <t>กะ2</t>
  </si>
  <si>
    <t>ณัฐพร</t>
  </si>
  <si>
    <t>ทัพศาสตร์</t>
  </si>
  <si>
    <t>NATTHAPHON</t>
  </si>
  <si>
    <t>TASAT</t>
  </si>
  <si>
    <t>28/9/2023</t>
  </si>
  <si>
    <t>ผู้ปฏิบัติการ (รับสินค้า (Confirm)-D)</t>
  </si>
  <si>
    <t>จ</t>
  </si>
  <si>
    <t>สรีรัญ</t>
  </si>
  <si>
    <t>วันศิริ</t>
  </si>
  <si>
    <t>SAREERAN</t>
  </si>
  <si>
    <t>WANSIRI</t>
  </si>
  <si>
    <t>28/10/2025</t>
  </si>
  <si>
    <t>เครื่องใน</t>
  </si>
  <si>
    <t>อา</t>
  </si>
  <si>
    <t>นาย</t>
  </si>
  <si>
    <t>วัฒธนศิล</t>
  </si>
  <si>
    <t>บุญสา</t>
  </si>
  <si>
    <t>WATTANASIN</t>
  </si>
  <si>
    <t>BOONSA</t>
  </si>
  <si>
    <t>19/1/2026</t>
  </si>
  <si>
    <t>ไม่ใช่</t>
  </si>
  <si>
    <t>18/5/2026</t>
  </si>
  <si>
    <t>//</t>
  </si>
  <si>
    <t>ผู้ปฏิบัติการ (รับ-จ่ายเครื่องใน-D)</t>
  </si>
  <si>
    <t>พระ</t>
  </si>
  <si>
    <t>วรภพ</t>
  </si>
  <si>
    <t>ชูเกาะ</t>
  </si>
  <si>
    <t>WORAPHOP</t>
  </si>
  <si>
    <t>CHUKO</t>
  </si>
  <si>
    <t>28/11/2025</t>
  </si>
  <si>
    <t>ธันธร</t>
  </si>
  <si>
    <t>THANTHON</t>
  </si>
  <si>
    <t>THAPSAT</t>
  </si>
  <si>
    <t>คณัสนันท์</t>
  </si>
  <si>
    <t>ธรรมโชติ</t>
  </si>
  <si>
    <t>KHANATSANAN</t>
  </si>
  <si>
    <t>THAMMACHOT</t>
  </si>
  <si>
    <t>16/6/2025</t>
  </si>
  <si>
    <t>13/10/2025</t>
  </si>
  <si>
    <t>สุวิมล</t>
  </si>
  <si>
    <t>พงษ์เถื่อน</t>
  </si>
  <si>
    <t>SUWIMOL</t>
  </si>
  <si>
    <t>PONGTHEUN</t>
  </si>
  <si>
    <t>ผู้ปฏิบัติการ (รับ-จ่ายหัว-D)</t>
  </si>
  <si>
    <t>สุวรรณ์</t>
  </si>
  <si>
    <t>คำมี</t>
  </si>
  <si>
    <t>SUWAN</t>
  </si>
  <si>
    <t>KAMMEE</t>
  </si>
  <si>
    <t>สมศักดิ์</t>
  </si>
  <si>
    <t>หนูทองแดง</t>
  </si>
  <si>
    <t>SOMSAK</t>
  </si>
  <si>
    <t>NUTHONGDAENG</t>
  </si>
  <si>
    <t>16/5/2023</t>
  </si>
  <si>
    <t>พิชิต</t>
  </si>
  <si>
    <t>บุษฎา</t>
  </si>
  <si>
    <t>PHICHIT</t>
  </si>
  <si>
    <t>BOODSADA</t>
  </si>
  <si>
    <t>PHICHIT.BOO</t>
  </si>
  <si>
    <t>29/7/2019</t>
  </si>
  <si>
    <t>ผู้ปฏิบัติการ (รับ-จ่ายหัว)</t>
  </si>
  <si>
    <t>พ</t>
  </si>
  <si>
    <t>นครินทร์</t>
  </si>
  <si>
    <t>มะลิทอง</t>
  </si>
  <si>
    <t>NAKARIN</t>
  </si>
  <si>
    <t>MALITHONG</t>
  </si>
  <si>
    <t>10567228</t>
  </si>
  <si>
    <t>อริย</t>
  </si>
  <si>
    <t>เสนาะสลุง</t>
  </si>
  <si>
    <t>จ่ายชิ้นส่วนกะ</t>
  </si>
  <si>
    <t>อดิศักดิ์</t>
  </si>
  <si>
    <t>ผาสุขธรรม</t>
  </si>
  <si>
    <t>ADISAK</t>
  </si>
  <si>
    <t>PARSUKTHAM</t>
  </si>
  <si>
    <t>ผู้ปฎิบัติการ (จ่ายชิ้นส่วน-D)</t>
  </si>
  <si>
    <t>สัญญา</t>
  </si>
  <si>
    <t>อนุสิทธิ์</t>
  </si>
  <si>
    <t>สราวุธ</t>
  </si>
  <si>
    <t>โต้ตอบ</t>
  </si>
  <si>
    <t>SARAWUT</t>
  </si>
  <si>
    <t>TOTOB</t>
  </si>
  <si>
    <t>20/1/2021</t>
  </si>
  <si>
    <t>19/5/2021</t>
  </si>
  <si>
    <t>ยุทธนา</t>
  </si>
  <si>
    <t>ภูทอง</t>
  </si>
  <si>
    <t>YUTTHNA</t>
  </si>
  <si>
    <t>PHUTHONG</t>
  </si>
  <si>
    <t>ปวริศา</t>
  </si>
  <si>
    <t>ภิรมยา</t>
  </si>
  <si>
    <t>POWARISA</t>
  </si>
  <si>
    <t>PHIROMYA</t>
  </si>
  <si>
    <t>19/1/2025</t>
  </si>
  <si>
    <t>18/5/2025</t>
  </si>
  <si>
    <t>นัฐพงษ์</t>
  </si>
  <si>
    <t>ไหวพริบ</t>
  </si>
  <si>
    <t>NATTAPONG</t>
  </si>
  <si>
    <t>HWAIPRIP</t>
  </si>
  <si>
    <t>29/7/2025</t>
  </si>
  <si>
    <t>ทรงยศ</t>
  </si>
  <si>
    <t>เกิดขาว</t>
  </si>
  <si>
    <t>SONGYOT</t>
  </si>
  <si>
    <t>KOEDKHAO</t>
  </si>
  <si>
    <t>17/3/2025</t>
  </si>
  <si>
    <t>14/7/2025</t>
  </si>
  <si>
    <t>ชยุต</t>
  </si>
  <si>
    <t>ธาทนะปรีดา</t>
  </si>
  <si>
    <t>CHAYUT</t>
  </si>
  <si>
    <t>TATANAPREDA</t>
  </si>
  <si>
    <t>อนุภัทร</t>
  </si>
  <si>
    <t>ชูเชิด</t>
  </si>
  <si>
    <t>ANUPAT</t>
  </si>
  <si>
    <t>CHUCHOED</t>
  </si>
  <si>
    <t>สุภัทร์ตรา</t>
  </si>
  <si>
    <t>ยามสุข</t>
  </si>
  <si>
    <t>SUPATTRA</t>
  </si>
  <si>
    <t>YAMSUK</t>
  </si>
  <si>
    <t>ศุภชัย</t>
  </si>
  <si>
    <t>เที่ยงตรง</t>
  </si>
  <si>
    <t>SUPACHAI</t>
  </si>
  <si>
    <t>TAENGTONG</t>
  </si>
  <si>
    <t>วิภารัตน์</t>
  </si>
  <si>
    <t>เมืองสวัสดิ์</t>
  </si>
  <si>
    <t>WIPARAT</t>
  </si>
  <si>
    <t>MUENGSAWAT</t>
  </si>
  <si>
    <t>29/8/2020</t>
  </si>
  <si>
    <t xml:space="preserve">รชานนท์ </t>
  </si>
  <si>
    <t>นาเจริญ</t>
  </si>
  <si>
    <t>ธีรนัย</t>
  </si>
  <si>
    <t>ชุลวงศ์</t>
  </si>
  <si>
    <t>ธนูทรัพย์</t>
  </si>
  <si>
    <t>กองปัญญา</t>
  </si>
  <si>
    <t>THANUSAP</t>
  </si>
  <si>
    <t>KONGPANYA</t>
  </si>
  <si>
    <t>16/3/2024</t>
  </si>
  <si>
    <t>13/7/2024</t>
  </si>
  <si>
    <t>ส</t>
  </si>
  <si>
    <t>ณัฐพล</t>
  </si>
  <si>
    <t>ทองจันทร์</t>
  </si>
  <si>
    <t>NATTAPON</t>
  </si>
  <si>
    <t>THONGJUN</t>
  </si>
  <si>
    <t>รามัญ</t>
  </si>
  <si>
    <t>RAMAN</t>
  </si>
  <si>
    <t>16/2/2023</t>
  </si>
  <si>
    <t>15/6/2023</t>
  </si>
  <si>
    <t>อภิชัย</t>
  </si>
  <si>
    <t>พิมพ์สุวรรณ</t>
  </si>
  <si>
    <t>APHICHAI</t>
  </si>
  <si>
    <t>PHIMSUWAN</t>
  </si>
  <si>
    <t>24/5/2024</t>
  </si>
  <si>
    <t>20/9/2024</t>
  </si>
  <si>
    <t>กะ3</t>
  </si>
  <si>
    <t>พีรพัฒน์</t>
  </si>
  <si>
    <t>สุขพันธ์</t>
  </si>
  <si>
    <t>PERAPHANTS</t>
  </si>
  <si>
    <t>SUKPHANT</t>
  </si>
  <si>
    <t>29/8/2024</t>
  </si>
  <si>
    <t>พงศกร</t>
  </si>
  <si>
    <t>ชัยประเสริฐ</t>
  </si>
  <si>
    <t>PHONGSAKON</t>
  </si>
  <si>
    <t>CHAIPRASERT</t>
  </si>
  <si>
    <t>28/11/2024</t>
  </si>
  <si>
    <t>บุญหลง</t>
  </si>
  <si>
    <t>เจริญธรรม</t>
  </si>
  <si>
    <t>ธนาธรณ์</t>
  </si>
  <si>
    <t>ใยทอง</t>
  </si>
  <si>
    <t>THANATORN</t>
  </si>
  <si>
    <t>YAITHONG</t>
  </si>
  <si>
    <t>25/11/2024</t>
  </si>
  <si>
    <t>24/3/2025</t>
  </si>
  <si>
    <t>จักรพงษ์</t>
  </si>
  <si>
    <t>ผลมะขาม</t>
  </si>
  <si>
    <t>JAKKAPONG</t>
  </si>
  <si>
    <t>PHOLMAKHAM</t>
  </si>
  <si>
    <t>29/12/2021</t>
  </si>
  <si>
    <t>กิตติพล</t>
  </si>
  <si>
    <t>บุญครุฑ</t>
  </si>
  <si>
    <t>KITTIPOL</t>
  </si>
  <si>
    <t>BOONKHUT</t>
  </si>
  <si>
    <t>กนกวรรณ</t>
  </si>
  <si>
    <t>ไตรพรหม</t>
  </si>
  <si>
    <t>KANOKWAN</t>
  </si>
  <si>
    <t>TAIPHOM</t>
  </si>
  <si>
    <t>21/1/2026</t>
  </si>
  <si>
    <t>20/5/2026</t>
  </si>
  <si>
    <t>ผู้ปฏิบัติการ (จ่ายหมูซีก-D)</t>
  </si>
  <si>
    <t>สุทธิพร</t>
  </si>
  <si>
    <t>นุชพิเรนทร์</t>
  </si>
  <si>
    <t>SUTTHIPHON</t>
  </si>
  <si>
    <t>NUTPHIREN</t>
  </si>
  <si>
    <t>จ่ายหมูซีก</t>
  </si>
  <si>
    <t>สาวิตรี</t>
  </si>
  <si>
    <t>สุธาตุ</t>
  </si>
  <si>
    <t>SAWITREE</t>
  </si>
  <si>
    <t>SUTAT</t>
  </si>
  <si>
    <t>ศรัณย์</t>
  </si>
  <si>
    <t>กองศรี</t>
  </si>
  <si>
    <t>SARAN</t>
  </si>
  <si>
    <t>KONGSRI</t>
  </si>
  <si>
    <t>19/12/2024</t>
  </si>
  <si>
    <t>17/4/2025</t>
  </si>
  <si>
    <t>วศร</t>
  </si>
  <si>
    <t>นพรัตน์</t>
  </si>
  <si>
    <t>WASON</t>
  </si>
  <si>
    <t>NOPARAT</t>
  </si>
  <si>
    <t>ฤทธิไกร</t>
  </si>
  <si>
    <t>เนตรสว่าง</t>
  </si>
  <si>
    <t>RITTHIKAI</t>
  </si>
  <si>
    <t>NETRSAWANG</t>
  </si>
  <si>
    <t>มนตรี</t>
  </si>
  <si>
    <t>MONTREE</t>
  </si>
  <si>
    <t>VANSIRI</t>
  </si>
  <si>
    <t>ธีรยุทธ</t>
  </si>
  <si>
    <t>THIRAYUT</t>
  </si>
  <si>
    <t>อนัญญา</t>
  </si>
  <si>
    <t>ปทุมสูตร</t>
  </si>
  <si>
    <t>ANANYA</t>
  </si>
  <si>
    <t>PATHUMSUT</t>
  </si>
  <si>
    <t>ANANYA.PAT</t>
  </si>
  <si>
    <t>29/6/2020</t>
  </si>
  <si>
    <t>ผู้ปฏิบัติการ (จ่ายหมูซีก)</t>
  </si>
  <si>
    <t>แก้วสีนอ</t>
  </si>
  <si>
    <t>KAEWSINOR</t>
  </si>
  <si>
    <t>ผู้ปฏิบัติการ (รับหมูซีก-D)</t>
  </si>
  <si>
    <t>สุเมษา</t>
  </si>
  <si>
    <t>มั่นศรี</t>
  </si>
  <si>
    <t>SUMESA</t>
  </si>
  <si>
    <t>MANSRI</t>
  </si>
  <si>
    <t>20/11/2021</t>
  </si>
  <si>
    <t>19/3/2022</t>
  </si>
  <si>
    <t>พิศาล</t>
  </si>
  <si>
    <t>ปัญญายงค์</t>
  </si>
  <si>
    <t>PHISAN</t>
  </si>
  <si>
    <t>PANYAYONG</t>
  </si>
  <si>
    <t>พงศธร</t>
  </si>
  <si>
    <t>เขียนสอาด</t>
  </si>
  <si>
    <t>นิพัฒน์</t>
  </si>
  <si>
    <t>จรดล</t>
  </si>
  <si>
    <t>NIPHAT</t>
  </si>
  <si>
    <t>CHORADON</t>
  </si>
  <si>
    <t>23/3/2023</t>
  </si>
  <si>
    <t>20/7/2023</t>
  </si>
  <si>
    <t>จักรภัทร</t>
  </si>
  <si>
    <t>ชำนาญปืน</t>
  </si>
  <si>
    <t>JAKRAPAT</t>
  </si>
  <si>
    <t>CHAMNANPUEN</t>
  </si>
  <si>
    <t>อรรถพล</t>
  </si>
  <si>
    <t>เลิศมะเลา</t>
  </si>
  <si>
    <t>ดันหมู</t>
  </si>
  <si>
    <t>สุรศักดิ์</t>
  </si>
  <si>
    <t>สุ่มเงิน</t>
  </si>
  <si>
    <t>SURASAK</t>
  </si>
  <si>
    <t>SUM-NGOEN</t>
  </si>
  <si>
    <t>ศราวุฒิ</t>
  </si>
  <si>
    <t>พะศรี</t>
  </si>
  <si>
    <t>PASRI</t>
  </si>
  <si>
    <t>SARAWUT.PAS</t>
  </si>
  <si>
    <t>17/2/2021</t>
  </si>
  <si>
    <t>16/6/2021</t>
  </si>
  <si>
    <t>ผู้ปฏิบัติการ (รับ-จัดเก็บหมูซีก)</t>
  </si>
  <si>
    <t>วีระพล</t>
  </si>
  <si>
    <t>WIRAPHON</t>
  </si>
  <si>
    <t>SUMNGOEN</t>
  </si>
  <si>
    <t>อัชฌาณัฐฏ์</t>
  </si>
  <si>
    <t>พิภูธนัตถ์</t>
  </si>
  <si>
    <t>ATCHANAT</t>
  </si>
  <si>
    <t>PHIPHUTHANAT</t>
  </si>
  <si>
    <t>ATCHANAT.PHI</t>
  </si>
  <si>
    <t>28/10/2018</t>
  </si>
  <si>
    <t>อนุวัฒน์</t>
  </si>
  <si>
    <t>สมนวน</t>
  </si>
  <si>
    <t>ANUWAT</t>
  </si>
  <si>
    <t>SOMNUAN</t>
  </si>
  <si>
    <t>ม่วงเจริญ</t>
  </si>
  <si>
    <t>MUANGCHAROEY</t>
  </si>
  <si>
    <t>16/11/2019</t>
  </si>
  <si>
    <t>14/3/2020</t>
  </si>
  <si>
    <t>กฤษณะ</t>
  </si>
  <si>
    <t>หนูสิทธิ์</t>
  </si>
  <si>
    <t>KITSANA</t>
  </si>
  <si>
    <t>HNOOSIT</t>
  </si>
  <si>
    <t>สุดาภรณ์</t>
  </si>
  <si>
    <t>วงษ์เซ็น</t>
  </si>
  <si>
    <t>SUDAPORN</t>
  </si>
  <si>
    <t>WONGSEN</t>
  </si>
  <si>
    <t>SUDAPORN.WOG</t>
  </si>
  <si>
    <t>28/9/2018</t>
  </si>
  <si>
    <t>ผู้ปฏิบัติการ (ออก Invoice/ใบเคลื่อนย้าย/รน.)</t>
  </si>
  <si>
    <t>ตะกร้า</t>
  </si>
  <si>
    <t>พรวดี</t>
  </si>
  <si>
    <t>PORNWADEE</t>
  </si>
  <si>
    <t>ผู้ปฏิบัติการ (ออก Invoice/ใบเคลื่อนย้าย/รน.-D)</t>
  </si>
  <si>
    <t>สุกัญญา</t>
  </si>
  <si>
    <t>มั่นชื่น</t>
  </si>
  <si>
    <t>SUKANYA</t>
  </si>
  <si>
    <t>MANCHUEN</t>
  </si>
  <si>
    <t>ผู้ปฏิบัติการ (ควบคุมตะกร้า-D)</t>
  </si>
  <si>
    <t>เคลือบด้วง</t>
  </si>
  <si>
    <t>NATTHAPOL</t>
  </si>
  <si>
    <t>KLUABDAUNG</t>
  </si>
  <si>
    <t>สามัคคี</t>
  </si>
  <si>
    <t>SAMUKKEE</t>
  </si>
  <si>
    <t>SUPACHAI.SAM</t>
  </si>
  <si>
    <t>28/6/2008</t>
  </si>
  <si>
    <t>ผู้จัดการคลังสินค้า</t>
  </si>
  <si>
    <t>ผู้จัดการ</t>
  </si>
  <si>
    <t>สหภาพ</t>
  </si>
  <si>
    <t>โพธิ์ศรี</t>
  </si>
  <si>
    <t>SAHAPAB</t>
  </si>
  <si>
    <t>POESEE</t>
  </si>
  <si>
    <t>รับผลได้ชิ้นส่วน</t>
  </si>
  <si>
    <t>วงศ์ธร</t>
  </si>
  <si>
    <t>สว่างแสง</t>
  </si>
  <si>
    <t>WONGTHON</t>
  </si>
  <si>
    <t>SAWANGSAENG</t>
  </si>
  <si>
    <t>28/1/2025</t>
  </si>
  <si>
    <t>นันทวุฒิ</t>
  </si>
  <si>
    <t>จันทร์สุข</t>
  </si>
  <si>
    <t>NANTAWUT</t>
  </si>
  <si>
    <t>JANSUK</t>
  </si>
  <si>
    <t>นภาพร</t>
  </si>
  <si>
    <t>เพ็ชรโต</t>
  </si>
  <si>
    <t>NAPAPORN</t>
  </si>
  <si>
    <t>PETTO</t>
  </si>
  <si>
    <t>28/9/2021</t>
  </si>
  <si>
    <t>นพดล</t>
  </si>
  <si>
    <t>มุขดารา</t>
  </si>
  <si>
    <t>NOBPHADON</t>
  </si>
  <si>
    <t>MUKDARA</t>
  </si>
  <si>
    <t>29/7/2017</t>
  </si>
  <si>
    <t>ธวัชชัย</t>
  </si>
  <si>
    <t>เชนชาญ</t>
  </si>
  <si>
    <t>THAWATCHAI</t>
  </si>
  <si>
    <t>CHENCHAN</t>
  </si>
  <si>
    <t>THAWATCHAI.CH6</t>
  </si>
  <si>
    <t>ผู้ปฏิบัติการ (ขับรถโฟค์ลิฟท์)</t>
  </si>
  <si>
    <t>ชินทรักษา</t>
  </si>
  <si>
    <t>KIDSANA</t>
  </si>
  <si>
    <t>CHINTHARAKSA</t>
  </si>
  <si>
    <t>Mr.</t>
  </si>
  <si>
    <t>CHANTHA</t>
  </si>
  <si>
    <t>EAM</t>
  </si>
  <si>
    <t>กัมพูชา</t>
  </si>
  <si>
    <t>อำพล</t>
  </si>
  <si>
    <t>เจริญศรี</t>
  </si>
  <si>
    <t>AMPHON</t>
  </si>
  <si>
    <t>CHAROENSRI</t>
  </si>
  <si>
    <t>สหชาติ</t>
  </si>
  <si>
    <t>มูลเงิน</t>
  </si>
  <si>
    <t>SAHACHAT</t>
  </si>
  <si>
    <t>MOOL-NGERN</t>
  </si>
  <si>
    <t>SAHACHAT.MOO</t>
  </si>
  <si>
    <t>31/5/2019</t>
  </si>
  <si>
    <t>ผู้ปฏิบัติการ (รับชิ้นส่วน)</t>
  </si>
  <si>
    <t>วรเวช</t>
  </si>
  <si>
    <t>พิมสว่าง</t>
  </si>
  <si>
    <t>ลิขิต</t>
  </si>
  <si>
    <t>แจ้งกมล</t>
  </si>
  <si>
    <t>LIKHIT</t>
  </si>
  <si>
    <t>CNAENGKAMON</t>
  </si>
  <si>
    <t>ผู้ปฏิบัติการ (ขับรถโฟค์ลิฟท์-D )</t>
  </si>
  <si>
    <t>พงษ์พิชัย</t>
  </si>
  <si>
    <t>PONGPICHAI</t>
  </si>
  <si>
    <t>KHIENSAARD</t>
  </si>
  <si>
    <t>26/12/2025</t>
  </si>
  <si>
    <t>24/4/2026</t>
  </si>
  <si>
    <t>ชนะพล</t>
  </si>
  <si>
    <t>ก๊กพิทักษ์</t>
  </si>
  <si>
    <t>CHANAPHON</t>
  </si>
  <si>
    <t>KOKPETAK</t>
  </si>
  <si>
    <t>CHANAPHON.KOP</t>
  </si>
  <si>
    <t>28/10/2023</t>
  </si>
  <si>
    <t>สำนักงาน</t>
  </si>
  <si>
    <t>ศักดิ์ชัย</t>
  </si>
  <si>
    <t>รุ่งสวัสดิ์</t>
  </si>
  <si>
    <t>SAKCHAI</t>
  </si>
  <si>
    <t>RUNGSAWAD</t>
  </si>
  <si>
    <t>20/3/2026</t>
  </si>
  <si>
    <t>17/7/2026</t>
  </si>
  <si>
    <t>ภัทรพงษ์</t>
  </si>
  <si>
    <t>ภากร</t>
  </si>
  <si>
    <t>PUTTARAPONG</t>
  </si>
  <si>
    <t>PAKON</t>
  </si>
  <si>
    <t>PUTTARAPONG.PAK</t>
  </si>
  <si>
    <t>28/9/2015</t>
  </si>
  <si>
    <t>ผู้ชำนาญการคลังสินค้า</t>
  </si>
  <si>
    <t>ผกามาศ</t>
  </si>
  <si>
    <t>หอมจันทร์</t>
  </si>
  <si>
    <t>PAKAMAS</t>
  </si>
  <si>
    <t>HOMJAN</t>
  </si>
  <si>
    <t>29/7/2026</t>
  </si>
  <si>
    <t>ธีระนัย</t>
  </si>
  <si>
    <t>บางสุวรรณ์</t>
  </si>
  <si>
    <t>TEERANAI</t>
  </si>
  <si>
    <t>BANGSUWAN</t>
  </si>
  <si>
    <t>17/3/2026</t>
  </si>
  <si>
    <t>14/7/2026</t>
  </si>
  <si>
    <t>ธนวัฒน์</t>
  </si>
  <si>
    <t>บัวเขียว</t>
  </si>
  <si>
    <t>THANAWAT</t>
  </si>
  <si>
    <t>BUAKHIAO</t>
  </si>
  <si>
    <t>ดิลก</t>
  </si>
  <si>
    <t>มัทราช</t>
  </si>
  <si>
    <t>DILOK</t>
  </si>
  <si>
    <t>MADTARAD</t>
  </si>
  <si>
    <t>จันทร์สีขาว</t>
  </si>
  <si>
    <t>NUTTAPONG</t>
  </si>
  <si>
    <t>JANSEEKHAO</t>
  </si>
  <si>
    <t>เกวลิน</t>
  </si>
  <si>
    <t>สาระ</t>
  </si>
  <si>
    <t>KAWALIN</t>
  </si>
  <si>
    <t>SARA</t>
  </si>
  <si>
    <t>KAWALIN.SAR</t>
  </si>
  <si>
    <t>28/6/2023</t>
  </si>
  <si>
    <t>เจ้าหน้าที่คลังสินค้า</t>
  </si>
  <si>
    <t>กฤษณ์</t>
  </si>
  <si>
    <t>กำทรัพย์</t>
  </si>
  <si>
    <t>KRIT</t>
  </si>
  <si>
    <t>KUMSUB</t>
  </si>
  <si>
    <t>สุภาพร</t>
  </si>
  <si>
    <t>คำประดิษฐ</t>
  </si>
  <si>
    <t>SUPAPORN</t>
  </si>
  <si>
    <t>KUMPADID</t>
  </si>
  <si>
    <t>23/11/2023</t>
  </si>
  <si>
    <t>21/3/2024</t>
  </si>
  <si>
    <t>ผู้ปฏิบัติการ (ควบคุมคุณภาพ-D)</t>
  </si>
  <si>
    <t>งานควบคุมคุณภาพ</t>
  </si>
  <si>
    <t>QC</t>
  </si>
  <si>
    <t>'เข้าตามผลิตเชือด</t>
  </si>
  <si>
    <t>เบญจมาส</t>
  </si>
  <si>
    <t>BENJAMAT</t>
  </si>
  <si>
    <t>PHOSRI</t>
  </si>
  <si>
    <t>23/8/2024</t>
  </si>
  <si>
    <t>20/12/2024</t>
  </si>
  <si>
    <t>นพพร</t>
  </si>
  <si>
    <t>คำจำรูญ</t>
  </si>
  <si>
    <t>NOPPORN</t>
  </si>
  <si>
    <t>KHAMCHAMROON</t>
  </si>
  <si>
    <t>NOPPORN.KAM</t>
  </si>
  <si>
    <t>20/1/2020</t>
  </si>
  <si>
    <t>18/5/2020</t>
  </si>
  <si>
    <t>ผู้ปฏิบัติการ (ควบคุมคุณภาพ)</t>
  </si>
  <si>
    <t>ศิกวัส</t>
  </si>
  <si>
    <t>ภู่พัฒน์</t>
  </si>
  <si>
    <t>SIKAWAT</t>
  </si>
  <si>
    <t>POOPAT</t>
  </si>
  <si>
    <t>'เข้าตามผลิตรับหมูเป็น กะ1</t>
  </si>
  <si>
    <t>อรัญญา</t>
  </si>
  <si>
    <t>วงษ์ตา</t>
  </si>
  <si>
    <t>ARANYA</t>
  </si>
  <si>
    <t>WONGTA</t>
  </si>
  <si>
    <t>29/7/2022</t>
  </si>
  <si>
    <t>ออฟฟิศ,ซัพพอร์ต</t>
  </si>
  <si>
    <t>สุนิษา</t>
  </si>
  <si>
    <t>เฉลยมนต์</t>
  </si>
  <si>
    <t>SUNISA</t>
  </si>
  <si>
    <t>CHALOEYMON</t>
  </si>
  <si>
    <t>วิรัชยาภรณ์</t>
  </si>
  <si>
    <t>บุญเรือง</t>
  </si>
  <si>
    <t>WIRATCHAYAPORN</t>
  </si>
  <si>
    <t>BOONRUANG</t>
  </si>
  <si>
    <t>พัชราภรณ์</t>
  </si>
  <si>
    <t>แก้วใส</t>
  </si>
  <si>
    <t>PHATCHARAPORN</t>
  </si>
  <si>
    <t>KAEWSAI</t>
  </si>
  <si>
    <t>พลาพร</t>
  </si>
  <si>
    <t>คชสาร</t>
  </si>
  <si>
    <t>PALAPORN</t>
  </si>
  <si>
    <t>KHODCHASAN</t>
  </si>
  <si>
    <t>จริยา</t>
  </si>
  <si>
    <t>สุวรรณโชติ</t>
  </si>
  <si>
    <t>JARIYA</t>
  </si>
  <si>
    <t>SUWANNACHOT</t>
  </si>
  <si>
    <t>กมลชนก</t>
  </si>
  <si>
    <t>KAMONCHANOK</t>
  </si>
  <si>
    <t>29/7/2024</t>
  </si>
  <si>
    <t>ธนนันท์</t>
  </si>
  <si>
    <t>เดชเสริมศรี</t>
  </si>
  <si>
    <t>THANANAT</t>
  </si>
  <si>
    <t>DEJSOAMSRI</t>
  </si>
  <si>
    <t>16/1/2023</t>
  </si>
  <si>
    <t>15/5/2023</t>
  </si>
  <si>
    <t>กิตติชัย</t>
  </si>
  <si>
    <t>ดีคำไฮ</t>
  </si>
  <si>
    <t>KITTICHAI</t>
  </si>
  <si>
    <t>DEEKAMHAI</t>
  </si>
  <si>
    <t>สุรินทร์</t>
  </si>
  <si>
    <t>SURIN</t>
  </si>
  <si>
    <t>ดรุณี</t>
  </si>
  <si>
    <t>แถวทับ</t>
  </si>
  <si>
    <t>DARUNEE</t>
  </si>
  <si>
    <t>TAEW-TUB</t>
  </si>
  <si>
    <t>ศราวุธ</t>
  </si>
  <si>
    <t>สุทชา</t>
  </si>
  <si>
    <t>SUTCHA</t>
  </si>
  <si>
    <t>'เข้าตามผลิตรับหมูเป็น กะ2</t>
  </si>
  <si>
    <t>ศิรภัสสร</t>
  </si>
  <si>
    <t>บุญยมาลิก</t>
  </si>
  <si>
    <t>SIRAPUSSORN</t>
  </si>
  <si>
    <t>BOONYAMALIK</t>
  </si>
  <si>
    <t>SIRAPUSSOR.BOO</t>
  </si>
  <si>
    <t>31/5/2023</t>
  </si>
  <si>
    <t>เจ้าหน้าที่ควบคุมคุณภาพ</t>
  </si>
  <si>
    <t>QC สำนักงาน</t>
  </si>
  <si>
    <t>พื้นที่ดูแลถามพี่แบมอีกที</t>
  </si>
  <si>
    <t>ชลลดา</t>
  </si>
  <si>
    <t>หมวกเหล็ก</t>
  </si>
  <si>
    <t>CHONLADA</t>
  </si>
  <si>
    <t>MUAKLEK</t>
  </si>
  <si>
    <t>CHONLADA.MUA</t>
  </si>
  <si>
    <t>28/8/2024</t>
  </si>
  <si>
    <t>สุจิตตรา</t>
  </si>
  <si>
    <t>ภู่เกษร</t>
  </si>
  <si>
    <t>SUJITTRA</t>
  </si>
  <si>
    <t>PUKASORN</t>
  </si>
  <si>
    <t>17/5/2024</t>
  </si>
  <si>
    <t>13/9/2024</t>
  </si>
  <si>
    <t>รอพี่แบม</t>
  </si>
  <si>
    <t>วรรณิศา</t>
  </si>
  <si>
    <t>พ้นภัย</t>
  </si>
  <si>
    <t>WANNISA</t>
  </si>
  <si>
    <t>PHONPHAI</t>
  </si>
  <si>
    <t>สุกฤตา</t>
  </si>
  <si>
    <t>ฤทธิ์ไทยสง</t>
  </si>
  <si>
    <t>SUKITTA</t>
  </si>
  <si>
    <t>RITTHAISONG</t>
  </si>
  <si>
    <t>ผู้ปฏิบัติการ (ล้างเครื่องในขาว-D)</t>
  </si>
  <si>
    <t>งานเครื่องใน</t>
  </si>
  <si>
    <t>STEP 1</t>
  </si>
  <si>
    <t>ขูดขน</t>
  </si>
  <si>
    <t>อรอุมา</t>
  </si>
  <si>
    <t>ชัชวงษ์</t>
  </si>
  <si>
    <t>ONAUMA</t>
  </si>
  <si>
    <t>CHATWONG</t>
  </si>
  <si>
    <t>เครื่องในขาว</t>
  </si>
  <si>
    <t>สายฝน</t>
  </si>
  <si>
    <t>สังข์หอย</t>
  </si>
  <si>
    <t>SAIFON</t>
  </si>
  <si>
    <t>SANGHOI</t>
  </si>
  <si>
    <t>19/8/2020</t>
  </si>
  <si>
    <t>16/12/2020</t>
  </si>
  <si>
    <t>ศิริวรรณ</t>
  </si>
  <si>
    <t>SIRIWAN</t>
  </si>
  <si>
    <t>MATTHARAT</t>
  </si>
  <si>
    <t>ผู้ปฏิบัติการ (รับผลได้เครื่องในขาว-D)</t>
  </si>
  <si>
    <t>วิมลรัตน์</t>
  </si>
  <si>
    <t>WIMOLRAT</t>
  </si>
  <si>
    <t>วันชัย</t>
  </si>
  <si>
    <t>คัมภิรานนท์</t>
  </si>
  <si>
    <t>WANCHAI</t>
  </si>
  <si>
    <t>KHAMPIRANON</t>
  </si>
  <si>
    <t>Miss</t>
  </si>
  <si>
    <t>TAI</t>
  </si>
  <si>
    <t>SIM</t>
  </si>
  <si>
    <t>SANDAR WIN</t>
  </si>
  <si>
    <t>-</t>
  </si>
  <si>
    <t>พม่า</t>
  </si>
  <si>
    <t>NAN KHIN MYO SAN</t>
  </si>
  <si>
    <t>รจนา</t>
  </si>
  <si>
    <t>โทยิ้ม</t>
  </si>
  <si>
    <t>ROCHANA</t>
  </si>
  <si>
    <t>TOYIM</t>
  </si>
  <si>
    <t>ศิริพร</t>
  </si>
  <si>
    <t>เอี่ยมเจริญ</t>
  </si>
  <si>
    <t>SIRIPORN</t>
  </si>
  <si>
    <t>AIAMCHAROEN</t>
  </si>
  <si>
    <t>ชลธิชา</t>
  </si>
  <si>
    <t>ศรีทองสุก</t>
  </si>
  <si>
    <t>CHOLTHICHA</t>
  </si>
  <si>
    <t>SRITHONGSUK</t>
  </si>
  <si>
    <t>สุกานดา</t>
  </si>
  <si>
    <t>โอระนำ</t>
  </si>
  <si>
    <t>นาร้อยเอ็ด</t>
  </si>
  <si>
    <t>วรกพ</t>
  </si>
  <si>
    <t>เรณู</t>
  </si>
  <si>
    <t>อุทุมพิรัตน์</t>
  </si>
  <si>
    <t>REANOO</t>
  </si>
  <si>
    <t>AUTHUMPHIRAT</t>
  </si>
  <si>
    <t>REANOO.AUT</t>
  </si>
  <si>
    <t>ผู้ปฏิบัติการ (รับผลได้เครื่องในขาว)</t>
  </si>
  <si>
    <t>ปนัดดา</t>
  </si>
  <si>
    <t>ศรีวารี</t>
  </si>
  <si>
    <t>PANADDA</t>
  </si>
  <si>
    <t>SRIWAREE</t>
  </si>
  <si>
    <t>บุษบา</t>
  </si>
  <si>
    <t>เทพตาแสง</t>
  </si>
  <si>
    <t>BUTBA</t>
  </si>
  <si>
    <t>THEPTASAENG</t>
  </si>
  <si>
    <t>จิราพา</t>
  </si>
  <si>
    <t>มณีสุข</t>
  </si>
  <si>
    <t>JIRAPA</t>
  </si>
  <si>
    <t>MANEESUK</t>
  </si>
  <si>
    <t>24/7/2025</t>
  </si>
  <si>
    <t>20/11/2025</t>
  </si>
  <si>
    <t>กุ้ง</t>
  </si>
  <si>
    <t>อ่างบุญตา</t>
  </si>
  <si>
    <t>KUNG</t>
  </si>
  <si>
    <t>ANGBUNTA</t>
  </si>
  <si>
    <t>31/5/2018</t>
  </si>
  <si>
    <t>YE WAI</t>
  </si>
  <si>
    <t>MYINT SANDAR TUN</t>
  </si>
  <si>
    <t>KYAW WIN HTAY</t>
  </si>
  <si>
    <t>HNIN NUWAI</t>
  </si>
  <si>
    <t>HAN</t>
  </si>
  <si>
    <t>YIM</t>
  </si>
  <si>
    <t>สุธิตรี</t>
  </si>
  <si>
    <t>SUTHITREE</t>
  </si>
  <si>
    <t>ผู้ปฏิบัติการ (รับผลได้เครื่องในแดง-D)</t>
  </si>
  <si>
    <t>เครื่องในแดง</t>
  </si>
  <si>
    <t>วณิชา</t>
  </si>
  <si>
    <t>ปานอารีย์</t>
  </si>
  <si>
    <t>WANICHA</t>
  </si>
  <si>
    <t>PANAREE</t>
  </si>
  <si>
    <t>ผู้ปฏิบัติการ (ล้างเครื่องในแดง-D)</t>
  </si>
  <si>
    <t>รัตติกาล</t>
  </si>
  <si>
    <t>จั่นเสือ</t>
  </si>
  <si>
    <t>RATTIKAN</t>
  </si>
  <si>
    <t>CHANSUEA</t>
  </si>
  <si>
    <t>พัณณ์ชิตา</t>
  </si>
  <si>
    <t>ตั้งชัยวรรณา</t>
  </si>
  <si>
    <t>PHANCHITA</t>
  </si>
  <si>
    <t>TANGCHAIWANNA</t>
  </si>
  <si>
    <t>น้ำหอม</t>
  </si>
  <si>
    <t>สิงหะ</t>
  </si>
  <si>
    <t>NAMHOM</t>
  </si>
  <si>
    <t>SINGHA</t>
  </si>
  <si>
    <t>กฤษดา</t>
  </si>
  <si>
    <t>คลังทรัพย์</t>
  </si>
  <si>
    <t>KIDSADA</t>
  </si>
  <si>
    <t>CUNGSUB</t>
  </si>
  <si>
    <t>ผู้ปฏิบัติการ (ขูดขน -D)</t>
  </si>
  <si>
    <t>อมลรัตน์</t>
  </si>
  <si>
    <t>คำนิสา</t>
  </si>
  <si>
    <t>AMOLRAT</t>
  </si>
  <si>
    <t>KHAMNISA</t>
  </si>
  <si>
    <t>26/8/2025</t>
  </si>
  <si>
    <t>23/12/2025</t>
  </si>
  <si>
    <t>สุนิศา</t>
  </si>
  <si>
    <t>เอนกวัฒน์</t>
  </si>
  <si>
    <t>ANEKWAT</t>
  </si>
  <si>
    <t>พีรวัฒน์</t>
  </si>
  <si>
    <t>สีสอน</t>
  </si>
  <si>
    <t>PIRAWATH</t>
  </si>
  <si>
    <t>SESON</t>
  </si>
  <si>
    <t>ดาวเรือง</t>
  </si>
  <si>
    <t>นาคสังข์</t>
  </si>
  <si>
    <t>DAORUEANG</t>
  </si>
  <si>
    <t>NAKSANG</t>
  </si>
  <si>
    <t>จีรนุช</t>
  </si>
  <si>
    <t>บุญบำรุง</t>
  </si>
  <si>
    <t>SU MYAT THIN</t>
  </si>
  <si>
    <t>SHELL SHELL MHAYIE</t>
  </si>
  <si>
    <t>เหมาะดี</t>
  </si>
  <si>
    <t>MORDEE</t>
  </si>
  <si>
    <t>SUDARAT.MOR</t>
  </si>
  <si>
    <t>28/6/2019</t>
  </si>
  <si>
    <t>ผู้ปฏิบัติการ (ตรวจจับโลหะ หัว/เครื่องใน)</t>
  </si>
  <si>
    <t>ผลได้ เครื่องใน</t>
  </si>
  <si>
    <t>ศุภาวรรณ</t>
  </si>
  <si>
    <t>เกิดลาภ</t>
  </si>
  <si>
    <t>SUPHAWAN</t>
  </si>
  <si>
    <t>KOEDLAP</t>
  </si>
  <si>
    <t>16/11/2023</t>
  </si>
  <si>
    <t>14/3/2024</t>
  </si>
  <si>
    <t>ผู้ปฏิบัติการ (ตรวจจับโลหะ หัว/เครื่องใน-D)</t>
  </si>
  <si>
    <t>SAMNANG</t>
  </si>
  <si>
    <t>LOUCH</t>
  </si>
  <si>
    <t>24/10/2024</t>
  </si>
  <si>
    <t>20/2/2025</t>
  </si>
  <si>
    <t>ผ่าซาก</t>
  </si>
  <si>
    <t>อรพรรณ</t>
  </si>
  <si>
    <t>แหวนครุฑ</t>
  </si>
  <si>
    <t>ORRAPAN</t>
  </si>
  <si>
    <t>HAEONKRUT</t>
  </si>
  <si>
    <t>อภัตรนิภา</t>
  </si>
  <si>
    <t>เบ็ญจวรรณ</t>
  </si>
  <si>
    <t>APHATNIPHA</t>
  </si>
  <si>
    <t>BANJAWAN</t>
  </si>
  <si>
    <t>ธิติมา</t>
  </si>
  <si>
    <t>เฉลิมวัฒน์</t>
  </si>
  <si>
    <t>THITIMA</t>
  </si>
  <si>
    <t>CHALOEMWAT</t>
  </si>
  <si>
    <t>ธัญญรัตน์</t>
  </si>
  <si>
    <t>ไกรยเดช</t>
  </si>
  <si>
    <t>THANYARAT</t>
  </si>
  <si>
    <t>KAIYADAT</t>
  </si>
  <si>
    <t>Mrs.</t>
  </si>
  <si>
    <t>SREYTHOUCH</t>
  </si>
  <si>
    <t>BIT</t>
  </si>
  <si>
    <t>18/6/2023</t>
  </si>
  <si>
    <t>15/10/2023</t>
  </si>
  <si>
    <t>คงมี</t>
  </si>
  <si>
    <t>ORAPAN</t>
  </si>
  <si>
    <t>KONGME</t>
  </si>
  <si>
    <t>30/6/2022</t>
  </si>
  <si>
    <t>ผู้ปฏิบัติการ (เช็คจ่ายสินค้า-D)</t>
  </si>
  <si>
    <t>งานเช็คจ่ายสินค้า</t>
  </si>
  <si>
    <t>เช็คจ่ายสินค้า</t>
  </si>
  <si>
    <t>อภิษฎา</t>
  </si>
  <si>
    <t>โสภา</t>
  </si>
  <si>
    <t>APITSADA</t>
  </si>
  <si>
    <t>SOPHA</t>
  </si>
  <si>
    <t>เสกสรร</t>
  </si>
  <si>
    <t>ทิพย์ศรี</t>
  </si>
  <si>
    <t>SEKSAN</t>
  </si>
  <si>
    <t>THIPSRI</t>
  </si>
  <si>
    <t>ณัฐวศา</t>
  </si>
  <si>
    <t>ทองมาลา</t>
  </si>
  <si>
    <t>NATWASA</t>
  </si>
  <si>
    <t>THONGMALA</t>
  </si>
  <si>
    <t>กิ่งกมล</t>
  </si>
  <si>
    <t>มีศรี</t>
  </si>
  <si>
    <t>KINGKAAMON</t>
  </si>
  <si>
    <t>MESRI</t>
  </si>
  <si>
    <t>KINGKAAMON.MES</t>
  </si>
  <si>
    <t>31/12/2016</t>
  </si>
  <si>
    <t>เจ้าหน้าที่คลังสินค้า (เช็คจ่ายสินค้า)</t>
  </si>
  <si>
    <t>อรพิมพ์</t>
  </si>
  <si>
    <t>เสมาทอง</t>
  </si>
  <si>
    <t>ORAPHIM</t>
  </si>
  <si>
    <t>SEMATHONG</t>
  </si>
  <si>
    <t>ศรีทอง</t>
  </si>
  <si>
    <t>SRITONG</t>
  </si>
  <si>
    <t>SRITHONG</t>
  </si>
  <si>
    <t>ภาวิณี</t>
  </si>
  <si>
    <t>นิลสุวรรณ</t>
  </si>
  <si>
    <t>PHAWINEE</t>
  </si>
  <si>
    <t>NINSUWAN</t>
  </si>
  <si>
    <t>พิมพิกา</t>
  </si>
  <si>
    <t>จำปาจูม</t>
  </si>
  <si>
    <t>PIMPIKA</t>
  </si>
  <si>
    <t>JAMPAJOOM</t>
  </si>
  <si>
    <t>pimpika.jam</t>
  </si>
  <si>
    <t>30/3/2023</t>
  </si>
  <si>
    <t>พัชรา</t>
  </si>
  <si>
    <t>ทีวงษ์</t>
  </si>
  <si>
    <t>PACHARA</t>
  </si>
  <si>
    <t>TEEWONG</t>
  </si>
  <si>
    <t>16/10/2023</t>
  </si>
  <si>
    <t>ทอฝัน</t>
  </si>
  <si>
    <t>THOFAN</t>
  </si>
  <si>
    <t>ณิรชา</t>
  </si>
  <si>
    <t>NIRACHA</t>
  </si>
  <si>
    <t>16/1/2024</t>
  </si>
  <si>
    <t>14/5/2024</t>
  </si>
  <si>
    <t>กรรชัย</t>
  </si>
  <si>
    <t>คำฟู</t>
  </si>
  <si>
    <t>KANCHAI</t>
  </si>
  <si>
    <t>COMPU</t>
  </si>
  <si>
    <t>งานเชือดสุกร</t>
  </si>
  <si>
    <t>อภัตรชา</t>
  </si>
  <si>
    <t>APHATCHA</t>
  </si>
  <si>
    <t>BENJAWAN</t>
  </si>
  <si>
    <t>APHATCHA.BEN</t>
  </si>
  <si>
    <t>ผู้ปฏิบัติการ (ขูดขน)</t>
  </si>
  <si>
    <t>เชือดสุกร</t>
  </si>
  <si>
    <t>สุรเชษฐ</t>
  </si>
  <si>
    <t>แก้วนก</t>
  </si>
  <si>
    <t>SURACHET</t>
  </si>
  <si>
    <t>KAEWNOK</t>
  </si>
  <si>
    <t>สมยศ</t>
  </si>
  <si>
    <t>เม่นน้อย</t>
  </si>
  <si>
    <t>SOMYOD</t>
  </si>
  <si>
    <t>MENNOI</t>
  </si>
  <si>
    <t>ผู้ปฏิบัติการ (แขวนขา-D)</t>
  </si>
  <si>
    <t>ศิริรวง</t>
  </si>
  <si>
    <t>SIRIRUANG</t>
  </si>
  <si>
    <t>ขวัญเมือง</t>
  </si>
  <si>
    <t>KHWANMUEANG</t>
  </si>
  <si>
    <t>เติม</t>
  </si>
  <si>
    <t>TOEM</t>
  </si>
  <si>
    <t>รอดดี</t>
  </si>
  <si>
    <t>SETH</t>
  </si>
  <si>
    <t>TORNG</t>
  </si>
  <si>
    <t>ผู้ปฏิบัติการ (ทำเลือด-D)</t>
  </si>
  <si>
    <t>PYAE PHYO AUNG</t>
  </si>
  <si>
    <t>NYI NYI NAING</t>
  </si>
  <si>
    <t>LA</t>
  </si>
  <si>
    <t>LAM</t>
  </si>
  <si>
    <t>ผู้ปฏิบัติการ (ช๊อตไฟฟ้า-D)</t>
  </si>
  <si>
    <t>อภิสิทธิ์</t>
  </si>
  <si>
    <t>APISIT</t>
  </si>
  <si>
    <t>สิทธิศักดิ์</t>
  </si>
  <si>
    <t>SITTHISAK</t>
  </si>
  <si>
    <t>16/12/2025</t>
  </si>
  <si>
    <t>14/4/2026</t>
  </si>
  <si>
    <t>สุขแจ้งแสงทอง</t>
  </si>
  <si>
    <t>SANYA</t>
  </si>
  <si>
    <t>SUKCHEANGSAENGTHONG</t>
  </si>
  <si>
    <t>สมชาย</t>
  </si>
  <si>
    <t>กุลเล็ก</t>
  </si>
  <si>
    <t>SOMCHAI</t>
  </si>
  <si>
    <t>KUNLEK</t>
  </si>
  <si>
    <t>ยอด</t>
  </si>
  <si>
    <t>ยิ่งจำเริญ</t>
  </si>
  <si>
    <t>YOD</t>
  </si>
  <si>
    <t>YINGJAMROEN</t>
  </si>
  <si>
    <t>ณรงค์ศักดิ์</t>
  </si>
  <si>
    <t>เสมแก้ว</t>
  </si>
  <si>
    <t>NARONGSAK</t>
  </si>
  <si>
    <t>SEMKAEW</t>
  </si>
  <si>
    <t>23/9/2025</t>
  </si>
  <si>
    <t>20/1/2026</t>
  </si>
  <si>
    <t>ผู้ปฏิบัติการ (เจาะขา-D)</t>
  </si>
  <si>
    <t>ขวัญชัย</t>
  </si>
  <si>
    <t>โพธิ์ปิ่น</t>
  </si>
  <si>
    <t>KAUNCHAI</t>
  </si>
  <si>
    <t>PHOPIN</t>
  </si>
  <si>
    <t>KAUNCHAI.PHO</t>
  </si>
  <si>
    <t>16/5/2019</t>
  </si>
  <si>
    <t>UOCH</t>
  </si>
  <si>
    <t>NOV</t>
  </si>
  <si>
    <t>ผู้ปฏิบัติการ (ไล่หมูเข้าเครื่องช็อต-D)</t>
  </si>
  <si>
    <t>RIN</t>
  </si>
  <si>
    <t>HUY</t>
  </si>
  <si>
    <t>MG KO KO</t>
  </si>
  <si>
    <t>VON</t>
  </si>
  <si>
    <t>28/2/2024</t>
  </si>
  <si>
    <t>ผู้ปฏิบัติการ (แทงคอ-D)</t>
  </si>
  <si>
    <t>CHAMNIT</t>
  </si>
  <si>
    <t>NAI</t>
  </si>
  <si>
    <t>AYAR AUNG</t>
  </si>
  <si>
    <t>ศตวรรษ</t>
  </si>
  <si>
    <t>ต๊ะปวก</t>
  </si>
  <si>
    <t>SATTAWAT</t>
  </si>
  <si>
    <t>TAPUAK</t>
  </si>
  <si>
    <t>SATTAWAT.TAP</t>
  </si>
  <si>
    <t>28/8/2013</t>
  </si>
  <si>
    <t>ผู้จัดการควบคุมการผลิต</t>
  </si>
  <si>
    <t>อณุเดช</t>
  </si>
  <si>
    <t>สองใหม่</t>
  </si>
  <si>
    <t>ANUDET</t>
  </si>
  <si>
    <t>SONGMAI</t>
  </si>
  <si>
    <t>นปภา</t>
  </si>
  <si>
    <t>แซ่เลี้ยว</t>
  </si>
  <si>
    <t>NAPAPA</t>
  </si>
  <si>
    <t>SALEAVE</t>
  </si>
  <si>
    <t>NAPAPA.SAL</t>
  </si>
  <si>
    <t>21/4/2015</t>
  </si>
  <si>
    <t>18/8/2015</t>
  </si>
  <si>
    <t>เจ้าหน้าที่ควบคุมการผลิต(เตรียมชำแหละ)</t>
  </si>
  <si>
    <t>นิตยา</t>
  </si>
  <si>
    <t>มีมานะ</t>
  </si>
  <si>
    <t>NITTAYA</t>
  </si>
  <si>
    <t>MEMANA</t>
  </si>
  <si>
    <t>ผู้ปฏิบัติการ (ตัดแต่งพิเศษ-D)</t>
  </si>
  <si>
    <t>งานตัดแต่งพิเศษ</t>
  </si>
  <si>
    <t>Step 3</t>
  </si>
  <si>
    <t>นัสฐา</t>
  </si>
  <si>
    <t>จันทราศรี</t>
  </si>
  <si>
    <t>NATTHA</t>
  </si>
  <si>
    <t>JUNTARASRI</t>
  </si>
  <si>
    <t>ปราโมทย์</t>
  </si>
  <si>
    <t>คมขำ</t>
  </si>
  <si>
    <t>PRAMOT</t>
  </si>
  <si>
    <t>KNOMKHAM</t>
  </si>
  <si>
    <t>16/8/2025</t>
  </si>
  <si>
    <t>13/12/2025</t>
  </si>
  <si>
    <t>เปิดหมู(เบสิค)</t>
  </si>
  <si>
    <t>ZAW MYO AUNG</t>
  </si>
  <si>
    <t>28/1/2026</t>
  </si>
  <si>
    <t>ผู้ปฏิบัติการ (สไลด์-D)</t>
  </si>
  <si>
    <t>อรญา</t>
  </si>
  <si>
    <t>ญามาตย์</t>
  </si>
  <si>
    <t>ORAYA</t>
  </si>
  <si>
    <t>YAMAT</t>
  </si>
  <si>
    <t>22/3/2022</t>
  </si>
  <si>
    <t>19/7/2022</t>
  </si>
  <si>
    <t>ผู้ปฏิบัติการ (บรรจุชิ้นส่วน-D)</t>
  </si>
  <si>
    <t>เผาขา/ต้มเลือด</t>
  </si>
  <si>
    <t>สันติศักดิ์</t>
  </si>
  <si>
    <t>จุ้ยมณี</t>
  </si>
  <si>
    <t>SANTISAK</t>
  </si>
  <si>
    <t>JUIMANEE</t>
  </si>
  <si>
    <t>ผู้ปฏิบัติการ (เผาขา-D)</t>
  </si>
  <si>
    <t>ศิรประภา</t>
  </si>
  <si>
    <t>เหมถุริน</t>
  </si>
  <si>
    <t>SIRPRAPA</t>
  </si>
  <si>
    <t>HEMTHURIN</t>
  </si>
  <si>
    <t>ผู้ปฏิบัติการ (เลาะขา-D)</t>
  </si>
  <si>
    <t>ศรายุธ</t>
  </si>
  <si>
    <t>สินชม</t>
  </si>
  <si>
    <t>SARAYUT</t>
  </si>
  <si>
    <t>SINCHOM</t>
  </si>
  <si>
    <t>ผู้ปฏิบัติการ (ลวกเครื่องใน-D)</t>
  </si>
  <si>
    <t>ไวยกรรณ์</t>
  </si>
  <si>
    <t>WIYAKAN</t>
  </si>
  <si>
    <t>28/2/2022</t>
  </si>
  <si>
    <t>พัลลภ</t>
  </si>
  <si>
    <t>ธรรมวงษ์</t>
  </si>
  <si>
    <t>PANLOB</t>
  </si>
  <si>
    <t>THAMWONG</t>
  </si>
  <si>
    <t>ทัตพงษ์</t>
  </si>
  <si>
    <t>เจริญใส</t>
  </si>
  <si>
    <t>THATPHONG</t>
  </si>
  <si>
    <t>CHAROEYSAI</t>
  </si>
  <si>
    <t>ณัฐวรา</t>
  </si>
  <si>
    <t>หล่อทองแดง</t>
  </si>
  <si>
    <t>NATWARA</t>
  </si>
  <si>
    <t>LORTHONGDAENG</t>
  </si>
  <si>
    <t>29/8/2025</t>
  </si>
  <si>
    <t>กัลยา</t>
  </si>
  <si>
    <t>KANLAYA</t>
  </si>
  <si>
    <t>WAIYAKAN</t>
  </si>
  <si>
    <t>MIN THET OO</t>
  </si>
  <si>
    <t>ผู้ปฏิบัติการ (รับผลได้ ชิ้นส่วน-D)</t>
  </si>
  <si>
    <t>LIN</t>
  </si>
  <si>
    <t>อัจจิมา</t>
  </si>
  <si>
    <t>ประสานเนตร</t>
  </si>
  <si>
    <t>ATCHIMA</t>
  </si>
  <si>
    <t>PRASANNET</t>
  </si>
  <si>
    <t>เลาะขา</t>
  </si>
  <si>
    <t>สรัญญา</t>
  </si>
  <si>
    <t>ดับทุกข์</t>
  </si>
  <si>
    <t>SARANYA</t>
  </si>
  <si>
    <t>DABTOOK</t>
  </si>
  <si>
    <t>19/8/2025</t>
  </si>
  <si>
    <t>มา7.00</t>
  </si>
  <si>
    <t>ศิริขวัญ</t>
  </si>
  <si>
    <t>ปั้นทอง</t>
  </si>
  <si>
    <t>SIRIKWUN</t>
  </si>
  <si>
    <t>PUNTONG</t>
  </si>
  <si>
    <t>ชัยวัฒน์</t>
  </si>
  <si>
    <t>หรั่งโสภา</t>
  </si>
  <si>
    <t>จันทราภร</t>
  </si>
  <si>
    <t>สีสุรัตน์</t>
  </si>
  <si>
    <t>CHANSAPORN</t>
  </si>
  <si>
    <t>SEESURAT</t>
  </si>
  <si>
    <t>กริชวรา</t>
  </si>
  <si>
    <t>จันทร์ขาบมณี</t>
  </si>
  <si>
    <t>KRITWARA</t>
  </si>
  <si>
    <t>CHANKHAPMANI</t>
  </si>
  <si>
    <t>YAWIN</t>
  </si>
  <si>
    <t>TOE TOE</t>
  </si>
  <si>
    <t>วรากร</t>
  </si>
  <si>
    <t>เพร็ชโต</t>
  </si>
  <si>
    <t>สไลด์ (เบสิ/พิเศษ)</t>
  </si>
  <si>
    <t>ลัลภัสรินทร์</t>
  </si>
  <si>
    <t>นิษฐาร์ธารากุล</t>
  </si>
  <si>
    <t>LALPHATSARIN</t>
  </si>
  <si>
    <t>NITTHATARAKUL</t>
  </si>
  <si>
    <t>รุจิรา</t>
  </si>
  <si>
    <t>สอนดี</t>
  </si>
  <si>
    <t>RUJIRA</t>
  </si>
  <si>
    <t>SONDEE</t>
  </si>
  <si>
    <t>มวน</t>
  </si>
  <si>
    <t>รวดเร็ว</t>
  </si>
  <si>
    <t>MUAN</t>
  </si>
  <si>
    <t>RUADREO</t>
  </si>
  <si>
    <t>MUAN.RUA</t>
  </si>
  <si>
    <t>29/8/2018</t>
  </si>
  <si>
    <t>ผู้ปฏิบัติการ (รับผลได้ ชิ้นส่วน)</t>
  </si>
  <si>
    <t>ปุณยนุช</t>
  </si>
  <si>
    <t>พรหมมา</t>
  </si>
  <si>
    <t>PHUNYANUT</t>
  </si>
  <si>
    <t>PROMMA</t>
  </si>
  <si>
    <t>PHUNYANUT.PRO</t>
  </si>
  <si>
    <t>ปาริฉัตร</t>
  </si>
  <si>
    <t>หัสดี</t>
  </si>
  <si>
    <t>PARICHAT</t>
  </si>
  <si>
    <t>HATSADEE</t>
  </si>
  <si>
    <t>ปารณีย์</t>
  </si>
  <si>
    <t>เปรมปรีดา</t>
  </si>
  <si>
    <t>PARANEE</t>
  </si>
  <si>
    <t>PREMPREEDA</t>
  </si>
  <si>
    <t>16/1/2019</t>
  </si>
  <si>
    <t>15/5/2019</t>
  </si>
  <si>
    <t>ณัฐวุฒิ</t>
  </si>
  <si>
    <t>วงษ์ศรี</t>
  </si>
  <si>
    <t>NUTTAWUT</t>
  </si>
  <si>
    <t>WONGSRI</t>
  </si>
  <si>
    <t>เฉลิมพร</t>
  </si>
  <si>
    <t>จักรักษา</t>
  </si>
  <si>
    <t>CHALEAMPORN</t>
  </si>
  <si>
    <t>JAKRAKSA</t>
  </si>
  <si>
    <t>จิราภรณ์</t>
  </si>
  <si>
    <t>เรืองชม</t>
  </si>
  <si>
    <t>JIRAPONR</t>
  </si>
  <si>
    <t>REUENGCHOM</t>
  </si>
  <si>
    <t>JIRAPONR.REU</t>
  </si>
  <si>
    <t>ผู้ปฏิบัติการ (สไลด์)</t>
  </si>
  <si>
    <t>WIN THANDA MYINT</t>
  </si>
  <si>
    <t>SROS</t>
  </si>
  <si>
    <t>THAN</t>
  </si>
  <si>
    <t>SAW NYAN LIN THEIN</t>
  </si>
  <si>
    <t>SARO</t>
  </si>
  <si>
    <t>REN</t>
  </si>
  <si>
    <t>HONG</t>
  </si>
  <si>
    <t>KHEANG</t>
  </si>
  <si>
    <t>29/12/2025</t>
  </si>
  <si>
    <t>BUNTHONG</t>
  </si>
  <si>
    <t>KOK</t>
  </si>
  <si>
    <t>AUNG ZAW</t>
  </si>
  <si>
    <t>อารยา</t>
  </si>
  <si>
    <t>เรืองชาติ</t>
  </si>
  <si>
    <t>ARAYA</t>
  </si>
  <si>
    <t>RUANGCHAT</t>
  </si>
  <si>
    <t>20/1/2022</t>
  </si>
  <si>
    <t>19/5/2022</t>
  </si>
  <si>
    <t>สะโพก(พิเศษ)</t>
  </si>
  <si>
    <t>อรชร</t>
  </si>
  <si>
    <t>ซื่อจริงรักษ์วาจา</t>
  </si>
  <si>
    <t>ORACHORN</t>
  </si>
  <si>
    <t>SUAJINGTAKWAJA</t>
  </si>
  <si>
    <t>อมิตา</t>
  </si>
  <si>
    <t>บุตรเตือน</t>
  </si>
  <si>
    <t>AMITA</t>
  </si>
  <si>
    <t>BUTTHUEN</t>
  </si>
  <si>
    <t>สุวรีณา</t>
  </si>
  <si>
    <t>พรหมพิทักษ์</t>
  </si>
  <si>
    <t>SUWAREENA</t>
  </si>
  <si>
    <t>PHOMPHITHAK</t>
  </si>
  <si>
    <t>สุนิสา</t>
  </si>
  <si>
    <t>สมโภชน์</t>
  </si>
  <si>
    <t>SOMPOCH</t>
  </si>
  <si>
    <t>ปิยพร</t>
  </si>
  <si>
    <t>ภักดีพล</t>
  </si>
  <si>
    <t>PIYAPORN</t>
  </si>
  <si>
    <t>PUKDEEPHOL</t>
  </si>
  <si>
    <t>ธัญญารัตน์</t>
  </si>
  <si>
    <t>สีดา</t>
  </si>
  <si>
    <t>TUNYARAT</t>
  </si>
  <si>
    <t>SRIDA</t>
  </si>
  <si>
    <t>ทัศนีย์</t>
  </si>
  <si>
    <t>TASSANEE</t>
  </si>
  <si>
    <t>ชญาดา</t>
  </si>
  <si>
    <t>ทองกระจ่าง</t>
  </si>
  <si>
    <t>CHAYADA</t>
  </si>
  <si>
    <t>THONGKAJANG</t>
  </si>
  <si>
    <t>16/9/2019</t>
  </si>
  <si>
    <t>13/1/2020</t>
  </si>
  <si>
    <t>SU PHYO HTAY</t>
  </si>
  <si>
    <t>AYE NYEIN THU</t>
  </si>
  <si>
    <t>KYAW KYAW MIN</t>
  </si>
  <si>
    <t>สามชั้น(เบสิค)</t>
  </si>
  <si>
    <t>ฉันทิบ</t>
  </si>
  <si>
    <t>CHANTHIP</t>
  </si>
  <si>
    <t>สามชั้น(พิเศษ)</t>
  </si>
  <si>
    <t>วิมล</t>
  </si>
  <si>
    <t>WIMOL</t>
  </si>
  <si>
    <t>KOMPIRANON</t>
  </si>
  <si>
    <t>WIMOL.KOM</t>
  </si>
  <si>
    <t>16/11/2018</t>
  </si>
  <si>
    <t>15/3/2019</t>
  </si>
  <si>
    <t>ผู้ปฏิบัติการ (ตัดแต่งพิเศษ)</t>
  </si>
  <si>
    <t>ชมชาติ</t>
  </si>
  <si>
    <t>CHAMCHAT</t>
  </si>
  <si>
    <t>ผู้ปฏิบัติการ (เลื่อยกระดูก-D)</t>
  </si>
  <si>
    <t>วรรณา</t>
  </si>
  <si>
    <t>นิลคูหา</t>
  </si>
  <si>
    <t>WANNA</t>
  </si>
  <si>
    <t>NILKOOHA</t>
  </si>
  <si>
    <t>WANNA.NIL</t>
  </si>
  <si>
    <t>16/1/2017</t>
  </si>
  <si>
    <t>15/5/2017</t>
  </si>
  <si>
    <t>ธรรมรัตน์</t>
  </si>
  <si>
    <t>บุญมา</t>
  </si>
  <si>
    <t>THUMMARAT</t>
  </si>
  <si>
    <t>BOONMA</t>
  </si>
  <si>
    <t>ฟักศรี</t>
  </si>
  <si>
    <t>NATTAWUT</t>
  </si>
  <si>
    <t>FAKSRI</t>
  </si>
  <si>
    <t>จำปา</t>
  </si>
  <si>
    <t>ภูสุรินทร์</t>
  </si>
  <si>
    <t>JAMPA</t>
  </si>
  <si>
    <t>POOSURIN</t>
  </si>
  <si>
    <t>16/7/2024</t>
  </si>
  <si>
    <t>ZAW YE THWIN</t>
  </si>
  <si>
    <t>YETAY</t>
  </si>
  <si>
    <t>SAN SAN HTAY</t>
  </si>
  <si>
    <t>OHNMAR MYINT</t>
  </si>
  <si>
    <t>LIHOR</t>
  </si>
  <si>
    <t>28/10/2022</t>
  </si>
  <si>
    <t>HTET HTET AUNG</t>
  </si>
  <si>
    <t>AUNG THET OO</t>
  </si>
  <si>
    <t>บัณฑิตา</t>
  </si>
  <si>
    <t>ปิ่นเกตุ</t>
  </si>
  <si>
    <t>BUNTITA</t>
  </si>
  <si>
    <t>PINGATE</t>
  </si>
  <si>
    <t>รับผลได้</t>
  </si>
  <si>
    <t>เกรียงไกร</t>
  </si>
  <si>
    <t>อินทรภูติ</t>
  </si>
  <si>
    <t>KIANGKAI</t>
  </si>
  <si>
    <t>AINTHALAPOOTI</t>
  </si>
  <si>
    <t>KIANGKAI.AIN</t>
  </si>
  <si>
    <t>ผจญ</t>
  </si>
  <si>
    <t>จิตประไพ</t>
  </si>
  <si>
    <t>PHAJON</t>
  </si>
  <si>
    <t>JITPRAPHAI</t>
  </si>
  <si>
    <t>ผู้ปฏิบัติการ (หมูบด-D)</t>
  </si>
  <si>
    <t>ไหล่ / บด (พิเศษ)</t>
  </si>
  <si>
    <t>เกษร</t>
  </si>
  <si>
    <t>ศรีสุข</t>
  </si>
  <si>
    <t>KESORN</t>
  </si>
  <si>
    <t>SRISUK</t>
  </si>
  <si>
    <t>KESORN.SRI</t>
  </si>
  <si>
    <t>ผู้ปฏิบัติการ (หมูบด)</t>
  </si>
  <si>
    <t>TWE TWE SOE</t>
  </si>
  <si>
    <t>THET LIN</t>
  </si>
  <si>
    <t>SHWE YAMIN</t>
  </si>
  <si>
    <t>MA THADAR</t>
  </si>
  <si>
    <t>KHANT THURAIN MIN</t>
  </si>
  <si>
    <t>ทัดอยู่</t>
  </si>
  <si>
    <t>THATOIU</t>
  </si>
  <si>
    <t>รพีพร</t>
  </si>
  <si>
    <t>แก้วเลิศ</t>
  </si>
  <si>
    <t>RAPEEPORN</t>
  </si>
  <si>
    <t>KAEWLERT</t>
  </si>
  <si>
    <t>จารุวรรณ</t>
  </si>
  <si>
    <t>แซ่เอง</t>
  </si>
  <si>
    <t>JARUWAN</t>
  </si>
  <si>
    <t>SAE-AENG</t>
  </si>
  <si>
    <t>ZAW MIN OO</t>
  </si>
  <si>
    <t>YI LIN</t>
  </si>
  <si>
    <t>NWE NI NAING</t>
  </si>
  <si>
    <t>KHANT ZAR NI TUN</t>
  </si>
  <si>
    <t>น้ำผึ้ง</t>
  </si>
  <si>
    <t>NAMPHUENG</t>
  </si>
  <si>
    <t>BUNMA</t>
  </si>
  <si>
    <t>ไหล่(เบสิค)</t>
  </si>
  <si>
    <t>มะลิวัลย์</t>
  </si>
  <si>
    <t>เลียบคม</t>
  </si>
  <si>
    <t>MALIWAL</t>
  </si>
  <si>
    <t>LIABKHOM</t>
  </si>
  <si>
    <t>ไหล่(พิเศษ)</t>
  </si>
  <si>
    <t>21/5/2025 เป็นกะแบบนี้ / ทำ BKP ต่อ OT</t>
  </si>
  <si>
    <t>สลับกะทุกวันเสา กะ1\2 / มีผลอาทิต</t>
  </si>
  <si>
    <t>ภาวิต</t>
  </si>
  <si>
    <t>ปิยะพงษ์</t>
  </si>
  <si>
    <t>ใบทอง</t>
  </si>
  <si>
    <t>PIYAPLONG</t>
  </si>
  <si>
    <t>BAITONG</t>
  </si>
  <si>
    <t>19/1/2022</t>
  </si>
  <si>
    <t>18/5/2022</t>
  </si>
  <si>
    <t>หมวกส้ม</t>
  </si>
  <si>
    <t>นันทิยา</t>
  </si>
  <si>
    <t>NUNTIYA</t>
  </si>
  <si>
    <t>LEABKOM</t>
  </si>
  <si>
    <t>ดาราวรรณ</t>
  </si>
  <si>
    <t>แขกช้อย</t>
  </si>
  <si>
    <t>DARAWAN</t>
  </si>
  <si>
    <t>KHAEKCHOI</t>
  </si>
  <si>
    <t>จรัสพร</t>
  </si>
  <si>
    <t>สุภา</t>
  </si>
  <si>
    <t>ZIN MIN THU</t>
  </si>
  <si>
    <t xml:space="preserve">อุบัติเหตุ </t>
  </si>
  <si>
    <t>THET ZIN AYE</t>
  </si>
  <si>
    <t>ANZALI MOE</t>
  </si>
  <si>
    <t>ราตรี</t>
  </si>
  <si>
    <t>จันดา</t>
  </si>
  <si>
    <t>RATREE</t>
  </si>
  <si>
    <t>CHANDA</t>
  </si>
  <si>
    <t>16/9/2025</t>
  </si>
  <si>
    <t>13/1/2026</t>
  </si>
  <si>
    <t>ธิดารัตน์</t>
  </si>
  <si>
    <t>ดวงหทัย</t>
  </si>
  <si>
    <t>กัญจะนา</t>
  </si>
  <si>
    <t>DAUNGHATHAI</t>
  </si>
  <si>
    <t>KANJANA</t>
  </si>
  <si>
    <t>18/11/2025</t>
  </si>
  <si>
    <t>YOON YATI AUNG</t>
  </si>
  <si>
    <t>NAY ZAR LIN</t>
  </si>
  <si>
    <t>NAN LIN HTET</t>
  </si>
  <si>
    <t>HNIN YU SHWE</t>
  </si>
  <si>
    <t>EI THET HNIN MAUNG</t>
  </si>
  <si>
    <t>สุวรรณา</t>
  </si>
  <si>
    <t>อ่อนละมูล</t>
  </si>
  <si>
    <t>SUWANNA</t>
  </si>
  <si>
    <t>ONLAMOON</t>
  </si>
  <si>
    <t>สุทธิราช</t>
  </si>
  <si>
    <t>ชูดอกไม้</t>
  </si>
  <si>
    <t>SUTTIRAT</t>
  </si>
  <si>
    <t>CHUDOKMAI</t>
  </si>
  <si>
    <t>ลาออก</t>
  </si>
  <si>
    <t>สุดาทิพย์</t>
  </si>
  <si>
    <t>พงษ์ศร</t>
  </si>
  <si>
    <t>SUDATIP</t>
  </si>
  <si>
    <t>PONGSON</t>
  </si>
  <si>
    <t>ไม่ได้อยุสะโพก</t>
  </si>
  <si>
    <t>วีระ</t>
  </si>
  <si>
    <t>เกื้อกระโทก</t>
  </si>
  <si>
    <t>WEERA</t>
  </si>
  <si>
    <t>KUAKRATHOK</t>
  </si>
  <si>
    <t>WEERA.KUA</t>
  </si>
  <si>
    <t>16/8/2021</t>
  </si>
  <si>
    <t>13/12/2021</t>
  </si>
  <si>
    <t>ผู้ชำนาญการควบคุมการผลิต(แยกชิ้นส่วนและตัดแต่ง)</t>
  </si>
  <si>
    <t>รพีภัทร</t>
  </si>
  <si>
    <t>มีสัตย์</t>
  </si>
  <si>
    <t>RAPHIPHAT</t>
  </si>
  <si>
    <t>MEESAT</t>
  </si>
  <si>
    <t>ไม่ได้อยุ่สามชั้น</t>
  </si>
  <si>
    <t>ณรงค์ฤทธิ์</t>
  </si>
  <si>
    <t>พรมจารีย์</t>
  </si>
  <si>
    <t>NARONGRIT</t>
  </si>
  <si>
    <t>PROMJAREE</t>
  </si>
  <si>
    <t>ROTDI</t>
  </si>
  <si>
    <t>ผู้ปฏิบัติการ (ดึงเครื่องในขาว-D)</t>
  </si>
  <si>
    <t>งานผ่าซาก</t>
  </si>
  <si>
    <t>ละอองดาว</t>
  </si>
  <si>
    <t>พรปกเกล้า</t>
  </si>
  <si>
    <t>LAOONGDAW</t>
  </si>
  <si>
    <t>PORNPOKKLAO</t>
  </si>
  <si>
    <t>ผู้ปฏิบัติการ (ขูดขนหลังผ่าซาก -D)</t>
  </si>
  <si>
    <t>หยุดวันพระ</t>
  </si>
  <si>
    <t>น้ำอ้อย</t>
  </si>
  <si>
    <t>สีน้ำเงิน</t>
  </si>
  <si>
    <t>NAMOY</t>
  </si>
  <si>
    <t>SINAMNGOEN</t>
  </si>
  <si>
    <t>อุทิศ</t>
  </si>
  <si>
    <t>โพธิ์ทอง</t>
  </si>
  <si>
    <t>UTIT</t>
  </si>
  <si>
    <t>PHOTHONG</t>
  </si>
  <si>
    <t>ผู้ปฏิบัติการ (เปิดช่องท้อง-D)</t>
  </si>
  <si>
    <t>ภูวดล</t>
  </si>
  <si>
    <t>หงส์ประสิทธิ์</t>
  </si>
  <si>
    <t>PHUWADOL</t>
  </si>
  <si>
    <t>HONGPRASIT</t>
  </si>
  <si>
    <t>ผู้ปฏิบัติการ (เลื่อยผ่าซีก-D)</t>
  </si>
  <si>
    <t xml:space="preserve">ภิษณุ </t>
  </si>
  <si>
    <t>เขาทอง</t>
  </si>
  <si>
    <t>พิเชษฐ์</t>
  </si>
  <si>
    <t>สุขเลี้ยง</t>
  </si>
  <si>
    <t>PHICHET</t>
  </si>
  <si>
    <t>SUKLIANG</t>
  </si>
  <si>
    <t>***</t>
  </si>
  <si>
    <t>นำโชค</t>
  </si>
  <si>
    <t>NAMCHOK</t>
  </si>
  <si>
    <t>SUKLEANG</t>
  </si>
  <si>
    <t>ชนธิชา</t>
  </si>
  <si>
    <t>ปัดทะสี</t>
  </si>
  <si>
    <t>CHONTHICHA</t>
  </si>
  <si>
    <t>PATTHASI</t>
  </si>
  <si>
    <t>30/6/2025</t>
  </si>
  <si>
    <t>ผู้ปฏิบัติการ (เจาะก้น-D)</t>
  </si>
  <si>
    <t>เขมิกา</t>
  </si>
  <si>
    <t>ศิริบาง</t>
  </si>
  <si>
    <t>KHEMMIKA</t>
  </si>
  <si>
    <t>SIRIBANG</t>
  </si>
  <si>
    <t>KHEMMIKA.SIR</t>
  </si>
  <si>
    <t>19/7/2021</t>
  </si>
  <si>
    <t>15/11/2021</t>
  </si>
  <si>
    <t>ผู้ปฏิบัติการ (คัดหมูซีกตลาดสด)</t>
  </si>
  <si>
    <t>ขนิษฐา</t>
  </si>
  <si>
    <t>แนบเนียน</t>
  </si>
  <si>
    <t>KHANITTHA</t>
  </si>
  <si>
    <t>NABNEAN</t>
  </si>
  <si>
    <t>กำธร</t>
  </si>
  <si>
    <t>บัวเล็ก</t>
  </si>
  <si>
    <t>KAMTHON</t>
  </si>
  <si>
    <t>BOUALEK</t>
  </si>
  <si>
    <t>ผู้ปฏิบัติการ (ดึงไขสันหลัง/ไต-D)</t>
  </si>
  <si>
    <t>KYAW THU SOE</t>
  </si>
  <si>
    <t>ผู้ปฏิบัติการ (ดึงเครื่องในแดง-D)</t>
  </si>
  <si>
    <t>เอนก</t>
  </si>
  <si>
    <t>ดวงรัตน์</t>
  </si>
  <si>
    <t>ANAG</t>
  </si>
  <si>
    <t>DUANGRATN</t>
  </si>
  <si>
    <t>อุมาพร</t>
  </si>
  <si>
    <t>แจ่มจันทร์</t>
  </si>
  <si>
    <t>UMAPORN</t>
  </si>
  <si>
    <t>JAEMJAN</t>
  </si>
  <si>
    <t>ผู้ปฏิบัติการ (รับผลได้หมูซีก-D)</t>
  </si>
  <si>
    <t>อ้อยทิพย์</t>
  </si>
  <si>
    <t>แจ้งสงค์</t>
  </si>
  <si>
    <t>OUYTIP</t>
  </si>
  <si>
    <t>JANGSONG</t>
  </si>
  <si>
    <t>OUYTIP.JAN</t>
  </si>
  <si>
    <t>20/1/2017</t>
  </si>
  <si>
    <t>19/5/2017</t>
  </si>
  <si>
    <t>อนันตญา</t>
  </si>
  <si>
    <t>ANANTAYA</t>
  </si>
  <si>
    <t>POTONG</t>
  </si>
  <si>
    <t>พรไพลิน</t>
  </si>
  <si>
    <t>ฉายลม</t>
  </si>
  <si>
    <t>PORNPHAILIN</t>
  </si>
  <si>
    <t>CHAILOM</t>
  </si>
  <si>
    <t>สิงห์เสรี</t>
  </si>
  <si>
    <t>PONGSAKORN</t>
  </si>
  <si>
    <t>SINGSAREE</t>
  </si>
  <si>
    <t>ผู้ปฏิบัติการ (ตัดหัว-D)</t>
  </si>
  <si>
    <t>WUNNA THWIN</t>
  </si>
  <si>
    <t>NAN</t>
  </si>
  <si>
    <t>SARON</t>
  </si>
  <si>
    <t>ผู้ปฏิบัติการ(คัดหมูซีกตลาดสด-D)</t>
  </si>
  <si>
    <t>วัยวุฒิ</t>
  </si>
  <si>
    <t>อรกุล</t>
  </si>
  <si>
    <t>WAIYAWUT</t>
  </si>
  <si>
    <t>ORAKUL</t>
  </si>
  <si>
    <t>WAIYAWUT.ORA</t>
  </si>
  <si>
    <t>ผู้ปฏิบัติการ (พัสดุ)</t>
  </si>
  <si>
    <t>งานพัสดุ</t>
  </si>
  <si>
    <t>พัสดุ</t>
  </si>
  <si>
    <t>เทพรังสรรค์</t>
  </si>
  <si>
    <t>มั่นคง</t>
  </si>
  <si>
    <t>THEPRANGSAN</t>
  </si>
  <si>
    <t>MUNKONG</t>
  </si>
  <si>
    <t>THEPRANGSAN.MUN</t>
  </si>
  <si>
    <t>จักรกริช</t>
  </si>
  <si>
    <t>อิ่นคำ</t>
  </si>
  <si>
    <t>JAKKIT</t>
  </si>
  <si>
    <t>AINKHAM</t>
  </si>
  <si>
    <t>JAKKIT.AIN</t>
  </si>
  <si>
    <t>28/1/2018</t>
  </si>
  <si>
    <t>เจ้าหน้าที่พัสดุ</t>
  </si>
  <si>
    <t>สุพัตรา</t>
  </si>
  <si>
    <t>เพียรสมผล</t>
  </si>
  <si>
    <t>SUPHATTA</t>
  </si>
  <si>
    <t>PAINSOMPHOI</t>
  </si>
  <si>
    <t>ผู้ปฏิบัตการ (ตัดแต่งหมูสะโพก-D)</t>
  </si>
  <si>
    <t>งานแยกชิ้นส่วนและตัดแต่ง</t>
  </si>
  <si>
    <t>Step 2</t>
  </si>
  <si>
    <t>สังเวียน</t>
  </si>
  <si>
    <t>ทองไพบูลย์</t>
  </si>
  <si>
    <t>SANGWIAN</t>
  </si>
  <si>
    <t>THONGPHAIBUN</t>
  </si>
  <si>
    <t>ผู้ปฏิบัติการ (ขึ้นหมูทั้งซีก-D)</t>
  </si>
  <si>
    <t>ศิรศักดิ์</t>
  </si>
  <si>
    <t>ฟักเขียว</t>
  </si>
  <si>
    <t>SIRASAK</t>
  </si>
  <si>
    <t>FAKKIEW</t>
  </si>
  <si>
    <t>ศรีสุดาพร</t>
  </si>
  <si>
    <t>โพธิ์นอก</t>
  </si>
  <si>
    <t>SRISUDAPORN</t>
  </si>
  <si>
    <t>PONOG</t>
  </si>
  <si>
    <t>ผู้ปฏิบัติการ (เบิกหมูซีก/ชั่งรับผลได้หมูซีก-D)</t>
  </si>
  <si>
    <t>วิลาวรรณ</t>
  </si>
  <si>
    <t>WILAWAN</t>
  </si>
  <si>
    <t>KHAMPHIRANON</t>
  </si>
  <si>
    <t>WILAWAN.KHA</t>
  </si>
  <si>
    <t>30/3/2019</t>
  </si>
  <si>
    <t>ผู้ปฏิบัติการ (เบิกหมูซีก/ชั่งรับผลได้หมูซีก)</t>
  </si>
  <si>
    <t>วรรณพงษ์</t>
  </si>
  <si>
    <t>สุนทรนันท์</t>
  </si>
  <si>
    <t>WANNAPHONG</t>
  </si>
  <si>
    <t>SUNTHONNAN</t>
  </si>
  <si>
    <t>คงนิ่ม</t>
  </si>
  <si>
    <t>KONGNIM</t>
  </si>
  <si>
    <t>ภานุวัฒน์</t>
  </si>
  <si>
    <t>กำศร</t>
  </si>
  <si>
    <t>PHANUWAT</t>
  </si>
  <si>
    <t>GUMSORN</t>
  </si>
  <si>
    <t>28/6/2022</t>
  </si>
  <si>
    <t>ธีระพงษ์</t>
  </si>
  <si>
    <t>เป็งหมู</t>
  </si>
  <si>
    <t>THIRAPHONG</t>
  </si>
  <si>
    <t>PENGMOO</t>
  </si>
  <si>
    <t>ธนพล</t>
  </si>
  <si>
    <t>THANAPHON</t>
  </si>
  <si>
    <t>MUNGSAWAD</t>
  </si>
  <si>
    <t>จักรี</t>
  </si>
  <si>
    <t>บุ้งจันทร์</t>
  </si>
  <si>
    <t>JAKRI</t>
  </si>
  <si>
    <t>BOONGJUN</t>
  </si>
  <si>
    <t>29/1/2024</t>
  </si>
  <si>
    <t>วงศ์สวรรค์</t>
  </si>
  <si>
    <t>CHAKKAPONG</t>
  </si>
  <si>
    <t>WONGSAWAN</t>
  </si>
  <si>
    <t>ก้องภพ</t>
  </si>
  <si>
    <t>แดงอิ่ม</t>
  </si>
  <si>
    <t>KONGPHOB</t>
  </si>
  <si>
    <t>DANGAIM</t>
  </si>
  <si>
    <t>TUN NANDA</t>
  </si>
  <si>
    <t>ผู้ปฏิบัติการ (เข็นหมูซีกลงสายพาน-D)</t>
  </si>
  <si>
    <t>THUYA LIN</t>
  </si>
  <si>
    <t>ผู้ปฏิบัติการ (รับโอน จัดเก็บหมูซีก-D)</t>
  </si>
  <si>
    <t>PHOE KYAW</t>
  </si>
  <si>
    <t>AUNG AUNG</t>
  </si>
  <si>
    <t>อมรเณศ</t>
  </si>
  <si>
    <t>หนูประเสริฐ</t>
  </si>
  <si>
    <t>AMONNED</t>
  </si>
  <si>
    <t>NUPRASROED</t>
  </si>
  <si>
    <t>สะโพก(เบสิค)</t>
  </si>
  <si>
    <t>สุภาภรณ์</t>
  </si>
  <si>
    <t>บัวกุล</t>
  </si>
  <si>
    <t>BUAKUL</t>
  </si>
  <si>
    <t>รัฏฐิณี</t>
  </si>
  <si>
    <t>ส่งแก้ว</t>
  </si>
  <si>
    <t>RATHINEE</t>
  </si>
  <si>
    <t>SONGKAEW</t>
  </si>
  <si>
    <t>ยุวดี</t>
  </si>
  <si>
    <t>รันขุนทด</t>
  </si>
  <si>
    <t>YUWADEE</t>
  </si>
  <si>
    <t>RANKHUNTOD</t>
  </si>
  <si>
    <t>ยุทธศาสตร์</t>
  </si>
  <si>
    <t>ใยสว่าง</t>
  </si>
  <si>
    <t>YUTTHASAT</t>
  </si>
  <si>
    <t>YAISAHWANG</t>
  </si>
  <si>
    <t>มนต์นภา</t>
  </si>
  <si>
    <t>ทาถี</t>
  </si>
  <si>
    <t>MONNAPA</t>
  </si>
  <si>
    <t>TATHEE</t>
  </si>
  <si>
    <t>ผู้ปฏิบัติการ (ตรวจจับโลหะ-D)</t>
  </si>
  <si>
    <t>ปวีณา</t>
  </si>
  <si>
    <t>แก้วบุญเพิ่ม</t>
  </si>
  <si>
    <t>PAWEENA</t>
  </si>
  <si>
    <t>KAEWBUNPHOEM</t>
  </si>
  <si>
    <t>ประกอบกูล</t>
  </si>
  <si>
    <t>บัวแย้ม</t>
  </si>
  <si>
    <t>PRAKOBKOOL</t>
  </si>
  <si>
    <t>BUAYAEM</t>
  </si>
  <si>
    <t>นิศากร</t>
  </si>
  <si>
    <t>วิพันธุ์เงิน</t>
  </si>
  <si>
    <t>NESAGORN</t>
  </si>
  <si>
    <t>WIPHANNGOEN</t>
  </si>
  <si>
    <t>16/12/2021</t>
  </si>
  <si>
    <t>14/4/2022</t>
  </si>
  <si>
    <t>นิตชฎา</t>
  </si>
  <si>
    <t>จันดากรณ์</t>
  </si>
  <si>
    <t>NITCHADA</t>
  </si>
  <si>
    <t>CHANDAKORN</t>
  </si>
  <si>
    <t>NOPPARAT</t>
  </si>
  <si>
    <t>ธัญญาเรศ</t>
  </si>
  <si>
    <t>ศิริพัฒน์</t>
  </si>
  <si>
    <t>THANYARET</t>
  </si>
  <si>
    <t>SIRIPHAT</t>
  </si>
  <si>
    <t>จินดามณี</t>
  </si>
  <si>
    <t>บุตเกิง</t>
  </si>
  <si>
    <t>JINDAMANEE</t>
  </si>
  <si>
    <t>BUTKOENG</t>
  </si>
  <si>
    <t>17/11/2021</t>
  </si>
  <si>
    <t>16/3/2022</t>
  </si>
  <si>
    <t>CHARIYA</t>
  </si>
  <si>
    <t>เกสร</t>
  </si>
  <si>
    <t>ซาวทองคำ</t>
  </si>
  <si>
    <t>KESON</t>
  </si>
  <si>
    <t>SAOTHONGKHAM</t>
  </si>
  <si>
    <t>21/6/2018</t>
  </si>
  <si>
    <t>18/10/2018</t>
  </si>
  <si>
    <t>กรรณิกา</t>
  </si>
  <si>
    <t>สิมมา</t>
  </si>
  <si>
    <t>KANNIKA</t>
  </si>
  <si>
    <t>SIMMA</t>
  </si>
  <si>
    <t>ZIN MAR SHWE</t>
  </si>
  <si>
    <t>NING OO</t>
  </si>
  <si>
    <t>ผู้ปฏิบัติการ (เก็บตกท้ายไลน์-D)</t>
  </si>
  <si>
    <t>MYO LIN OO</t>
  </si>
  <si>
    <t>สมัชญา</t>
  </si>
  <si>
    <t>โทสุวรรณ์</t>
  </si>
  <si>
    <t>SAMATYA</t>
  </si>
  <si>
    <t>THOSUWAN</t>
  </si>
  <si>
    <t>ผู้ปฏิบัติการ (ตัดแต่งลำตัว-D)</t>
  </si>
  <si>
    <t>ศิริรัตน์</t>
  </si>
  <si>
    <t>SIRIRAT</t>
  </si>
  <si>
    <t>ภัทรา</t>
  </si>
  <si>
    <t>บุญวงศ์</t>
  </si>
  <si>
    <t>PHATTHA</t>
  </si>
  <si>
    <t>BUNWONG</t>
  </si>
  <si>
    <t>นุชสรา</t>
  </si>
  <si>
    <t>ผิวเณร</t>
  </si>
  <si>
    <t>NUSSARA</t>
  </si>
  <si>
    <t>PEWNANE</t>
  </si>
  <si>
    <t>28/10/2021</t>
  </si>
  <si>
    <t>น้ำฝน</t>
  </si>
  <si>
    <t>สงวนนาม</t>
  </si>
  <si>
    <t>NAMFON</t>
  </si>
  <si>
    <t>SANGUANNAM</t>
  </si>
  <si>
    <t>ธีร์ธวัช</t>
  </si>
  <si>
    <t>พัสกุล</t>
  </si>
  <si>
    <t>THEETHAWAT</t>
  </si>
  <si>
    <t>PHATSAKUN</t>
  </si>
  <si>
    <t>ธิราทิพย์</t>
  </si>
  <si>
    <t>นิยมทอง</t>
  </si>
  <si>
    <t>THIRATHIP</t>
  </si>
  <si>
    <t>NIYOMTHONG</t>
  </si>
  <si>
    <t>THIRATHIP.NIY</t>
  </si>
  <si>
    <t>28/2/2017</t>
  </si>
  <si>
    <t>ผู้ปฏิบัติการ (ตัดแต่งหมูลำตัว)</t>
  </si>
  <si>
    <t>ดิษฐวัฒน์</t>
  </si>
  <si>
    <t>ทองคำพุฒิพัฒน์</t>
  </si>
  <si>
    <t>DITTAWAT</t>
  </si>
  <si>
    <t>THONGKHAMPHUTHIPHAT</t>
  </si>
  <si>
    <t>28/1/2022</t>
  </si>
  <si>
    <t>เฉลียว</t>
  </si>
  <si>
    <t>จิตตะคาม</t>
  </si>
  <si>
    <t>CHALIO</t>
  </si>
  <si>
    <t>JITTAKAM</t>
  </si>
  <si>
    <t>จิราพรรณ</t>
  </si>
  <si>
    <t>เทียนทอง</t>
  </si>
  <si>
    <t>JIRAPAN</t>
  </si>
  <si>
    <t>THIANTHONG</t>
  </si>
  <si>
    <t>KANITTHA</t>
  </si>
  <si>
    <t>NUPRASOET</t>
  </si>
  <si>
    <t>SOE AUNG</t>
  </si>
  <si>
    <t>NAN EI MY AING</t>
  </si>
  <si>
    <t>KATA KYAW</t>
  </si>
  <si>
    <t>อานนท์</t>
  </si>
  <si>
    <t>ARNON</t>
  </si>
  <si>
    <t>LOESMALAO</t>
  </si>
  <si>
    <t>ผู้ปฏิบัติการ (ตัดแต่งหมูไหล่-D)</t>
  </si>
  <si>
    <t>อัมพิกา</t>
  </si>
  <si>
    <t>พระนอนเขตร</t>
  </si>
  <si>
    <t>AMPIGA</t>
  </si>
  <si>
    <t>PHANONKET</t>
  </si>
  <si>
    <t>สุขสันต์</t>
  </si>
  <si>
    <t>สุวรรณรังษี</t>
  </si>
  <si>
    <t>SUKSAN</t>
  </si>
  <si>
    <t>SUWANRANGSI</t>
  </si>
  <si>
    <t>เพ็งมาศ</t>
  </si>
  <si>
    <t>SUKANDA</t>
  </si>
  <si>
    <t>PANGMAS</t>
  </si>
  <si>
    <t>มานพ</t>
  </si>
  <si>
    <t>นวนแก้ว</t>
  </si>
  <si>
    <t>MANOP</t>
  </si>
  <si>
    <t>NUANKAEO</t>
  </si>
  <si>
    <t>นราวุฒิ</t>
  </si>
  <si>
    <t>บัวลพ</t>
  </si>
  <si>
    <t>NARAWUT</t>
  </si>
  <si>
    <t>BUALOP</t>
  </si>
  <si>
    <t>NARAWUT.BUL</t>
  </si>
  <si>
    <t>เตือนใจ</t>
  </si>
  <si>
    <t>กัลยานี</t>
  </si>
  <si>
    <t>TUEANCHAI</t>
  </si>
  <si>
    <t>GALLAYANEE</t>
  </si>
  <si>
    <t>ฉวีวรรณ</t>
  </si>
  <si>
    <t>ภาวะนิตย์</t>
  </si>
  <si>
    <t>CHAWEEWAN</t>
  </si>
  <si>
    <t>PAWANIT</t>
  </si>
  <si>
    <t>จตุรภัทร</t>
  </si>
  <si>
    <t>แย้มพลาย</t>
  </si>
  <si>
    <t>CHATURAPHAT</t>
  </si>
  <si>
    <t>YAEMPLAI</t>
  </si>
  <si>
    <t>เกษรา</t>
  </si>
  <si>
    <t>เศษขุนทด</t>
  </si>
  <si>
    <t>KETSARA</t>
  </si>
  <si>
    <t>SEATKHUNTOD</t>
  </si>
  <si>
    <t>YUM</t>
  </si>
  <si>
    <t>YOEURN</t>
  </si>
  <si>
    <t>HEAB</t>
  </si>
  <si>
    <t>THIN THIN KHAING</t>
  </si>
  <si>
    <t>SREYMOM</t>
  </si>
  <si>
    <t>IEM</t>
  </si>
  <si>
    <t>SIN</t>
  </si>
  <si>
    <t>YA</t>
  </si>
  <si>
    <t>PHARY</t>
  </si>
  <si>
    <t>KAB</t>
  </si>
  <si>
    <t>NWE NWE HLAING</t>
  </si>
  <si>
    <t>MA SOE SOE AYE</t>
  </si>
  <si>
    <t>สกุลณี</t>
  </si>
  <si>
    <t>ดีอินทร์</t>
  </si>
  <si>
    <t>SAKUNNEE</t>
  </si>
  <si>
    <t>DEEIN</t>
  </si>
  <si>
    <t>วิเชษฐ์</t>
  </si>
  <si>
    <t>WICHET</t>
  </si>
  <si>
    <t>wichet.bun</t>
  </si>
  <si>
    <t>วธิดาภรณ์</t>
  </si>
  <si>
    <t>สายทอง</t>
  </si>
  <si>
    <t>WATHIDAPHON</t>
  </si>
  <si>
    <t>SAITHONG</t>
  </si>
  <si>
    <t>งานแยกชิ้นส่วนและตัดแต่ง
*แก้เป็น งานตัดแต่งพิเศษ แล้ว</t>
  </si>
  <si>
    <t>วรรณนิสา</t>
  </si>
  <si>
    <t>ผะอบเงิน</t>
  </si>
  <si>
    <t>PAN-OB-NGARN</t>
  </si>
  <si>
    <t>WANNISA.PAO</t>
  </si>
  <si>
    <t>29/12/2017</t>
  </si>
  <si>
    <t>ผู้ปฏิบัติการ (ชั่งน้ำหนักหมูเป็น)</t>
  </si>
  <si>
    <t>งานรับสุกร</t>
  </si>
  <si>
    <t>รับสุกร</t>
  </si>
  <si>
    <t>พิเชฐ</t>
  </si>
  <si>
    <t>มณีอินทร์</t>
  </si>
  <si>
    <t>MANEEAIN</t>
  </si>
  <si>
    <t>15/9/2022</t>
  </si>
  <si>
    <t>ผู้ปฏิบัติการ (รับหมูเป็น-D)</t>
  </si>
  <si>
    <t>นิธิพร</t>
  </si>
  <si>
    <t>อุปมาก</t>
  </si>
  <si>
    <t>NITHIPORN</t>
  </si>
  <si>
    <t>OUPAMAK</t>
  </si>
  <si>
    <t>อมรรัตน์</t>
  </si>
  <si>
    <t>เทพนาคิน</t>
  </si>
  <si>
    <t>AMONRAT</t>
  </si>
  <si>
    <t>TAPNAKIN</t>
  </si>
  <si>
    <t>ภัทรวดี</t>
  </si>
  <si>
    <t>ทองจุ้ย</t>
  </si>
  <si>
    <t>PHATTHARAWADEE</t>
  </si>
  <si>
    <t>THONGJUI</t>
  </si>
  <si>
    <t>PRANEE.RUA</t>
  </si>
  <si>
    <t>ก้องรวี</t>
  </si>
  <si>
    <t>นวลสาลี</t>
  </si>
  <si>
    <t>KONGRAWEE</t>
  </si>
  <si>
    <t>NUALSALI</t>
  </si>
  <si>
    <t>29/12/2024</t>
  </si>
  <si>
    <t>อุดม</t>
  </si>
  <si>
    <t>เรืองบุบผา</t>
  </si>
  <si>
    <t>UDOM</t>
  </si>
  <si>
    <t>RUEANGBUPPHA</t>
  </si>
  <si>
    <t>ชัยยันต์</t>
  </si>
  <si>
    <t>ชุมกูล</t>
  </si>
  <si>
    <t>CHAIYAN</t>
  </si>
  <si>
    <t>CHUMGOOL</t>
  </si>
  <si>
    <t>CHAIYAN.CHU</t>
  </si>
  <si>
    <t>30/3/2010</t>
  </si>
  <si>
    <t>ผู้จัดการวางแผนและประสานงานการผลิต-ขาย</t>
  </si>
  <si>
    <t>งานวางแผนและประสานงานการผลิต</t>
  </si>
  <si>
    <t>วิภา</t>
  </si>
  <si>
    <t>จิรังดา</t>
  </si>
  <si>
    <t>WIPA</t>
  </si>
  <si>
    <t>JIRUNGDA</t>
  </si>
  <si>
    <t>ผู้ปฏิบัติการ (ธุรการขาย-D)</t>
  </si>
  <si>
    <t>วางแผน Ordering</t>
  </si>
  <si>
    <t>วศิน</t>
  </si>
  <si>
    <t>เปี่ยมเงิน</t>
  </si>
  <si>
    <t>WASIN</t>
  </si>
  <si>
    <t>PIAMNGOEN</t>
  </si>
  <si>
    <t>WASIN.PIA</t>
  </si>
  <si>
    <t>28/2/2026</t>
  </si>
  <si>
    <t>เจ้าหน้าที่วางแผนและประสานงานการผลิต-ขาย</t>
  </si>
  <si>
    <t>ประไพ</t>
  </si>
  <si>
    <t>โพธิ์สี</t>
  </si>
  <si>
    <t>PRAPAI</t>
  </si>
  <si>
    <t>PHOSEE</t>
  </si>
  <si>
    <t>PRAPAI.PHO</t>
  </si>
  <si>
    <t>29/7/2012</t>
  </si>
  <si>
    <t>ผู้ชำนาญการวางแผนและประสานงานการผลิต-ขาย</t>
  </si>
  <si>
    <t>ดวงพร</t>
  </si>
  <si>
    <t>อุ่นกระมล</t>
  </si>
  <si>
    <t>DUANGPORN</t>
  </si>
  <si>
    <t>AUNKRAMOL</t>
  </si>
  <si>
    <t>DUANGPORN.AUN</t>
  </si>
  <si>
    <t>ผู้ปฏิบัติการ (ธุรการขาย)</t>
  </si>
  <si>
    <t>วราวุธ</t>
  </si>
  <si>
    <t>WARAWUT</t>
  </si>
  <si>
    <t>เพ็ญพิชชา</t>
  </si>
  <si>
    <t>สาแขม</t>
  </si>
  <si>
    <t>PENPITCHA</t>
  </si>
  <si>
    <t>SAKAEM</t>
  </si>
  <si>
    <t>พรชนก</t>
  </si>
  <si>
    <t>ดาศรี</t>
  </si>
  <si>
    <t>PHONCHANOK</t>
  </si>
  <si>
    <t>DASRI</t>
  </si>
  <si>
    <t>ดวงตา</t>
  </si>
  <si>
    <t>PANUWUT</t>
  </si>
  <si>
    <t>DUANGTA</t>
  </si>
  <si>
    <t>PANUWUT.DUA</t>
  </si>
  <si>
    <t>28/11/2018</t>
  </si>
  <si>
    <t>ผู้จัดการวิศวกรรม</t>
  </si>
  <si>
    <t>งานวิศวกรรม</t>
  </si>
  <si>
    <t>RUANGCHOM</t>
  </si>
  <si>
    <t>WEERA.RUA</t>
  </si>
  <si>
    <t>ช่างซ่อมบำรุง</t>
  </si>
  <si>
    <t>วิศวกรรม</t>
  </si>
  <si>
    <t>วรพล</t>
  </si>
  <si>
    <t>คงกระพันธ์</t>
  </si>
  <si>
    <t>WORAPON</t>
  </si>
  <si>
    <t>KONGGRAPHAN</t>
  </si>
  <si>
    <t>WORAPON.KON</t>
  </si>
  <si>
    <t>16/6/2018</t>
  </si>
  <si>
    <t>13/10/2018</t>
  </si>
  <si>
    <t>โฉมทัพ</t>
  </si>
  <si>
    <t>THAMMARAT</t>
  </si>
  <si>
    <t>CHOMTHUP</t>
  </si>
  <si>
    <t>ผู้ปฏิบัติการ (ช่าง-D)</t>
  </si>
  <si>
    <t>สุริยะ</t>
  </si>
  <si>
    <t>SURIYA</t>
  </si>
  <si>
    <t>สราวุฒิ</t>
  </si>
  <si>
    <t>ประสพพร</t>
  </si>
  <si>
    <t>PRASOPPORN</t>
  </si>
  <si>
    <t>SARAWUT.PRS</t>
  </si>
  <si>
    <t>ฉัตรชัย</t>
  </si>
  <si>
    <t>CHATCHAI</t>
  </si>
  <si>
    <t>CHATCHAI.WAA</t>
  </si>
  <si>
    <t>28/6/2020</t>
  </si>
  <si>
    <t>SUWIMON</t>
  </si>
  <si>
    <t>THAMMACHOTE</t>
  </si>
  <si>
    <t>ผู้ปฏิบัติการ (สุขศาสตร์-D)</t>
  </si>
  <si>
    <t>งานสุขศาสตร์และภาชนะบรรจุ</t>
  </si>
  <si>
    <t>สุขศาสตร์</t>
  </si>
  <si>
    <t>สมใจ</t>
  </si>
  <si>
    <t>มิ่งมณี</t>
  </si>
  <si>
    <t>SOMJAI</t>
  </si>
  <si>
    <t>MINGMANEE</t>
  </si>
  <si>
    <t>ผู้ปฏิบัติการ (คนสวน-D)</t>
  </si>
  <si>
    <t>จีรัตน์</t>
  </si>
  <si>
    <t>CHIRAT</t>
  </si>
  <si>
    <t>SOMCHAI.CH6</t>
  </si>
  <si>
    <t>30/4/2020</t>
  </si>
  <si>
    <t>ผู้ปฏิบัติการ (สุขศาสตร์)</t>
  </si>
  <si>
    <t>ศุภณัฐ</t>
  </si>
  <si>
    <t>มหาพัณณาภรณ์</t>
  </si>
  <si>
    <t>SUPANUT</t>
  </si>
  <si>
    <t>MAHAPANANAPORN</t>
  </si>
  <si>
    <t>28/9/2022</t>
  </si>
  <si>
    <t>วราพร</t>
  </si>
  <si>
    <t>เขียวสี</t>
  </si>
  <si>
    <t>WARAPHON</t>
  </si>
  <si>
    <t>KHAOSI</t>
  </si>
  <si>
    <t>WARAPHON.KHO</t>
  </si>
  <si>
    <t>18/11/2016</t>
  </si>
  <si>
    <t>17/3/2017</t>
  </si>
  <si>
    <t>ผู้ปฏิบัติการ (ล้างตะกร้า)</t>
  </si>
  <si>
    <t>หินอ่อน</t>
  </si>
  <si>
    <t>HEENON</t>
  </si>
  <si>
    <t>ผู้ปฏิบัติการ (บริการสำนักงาน-D)</t>
  </si>
  <si>
    <t>เพ็ณวดี</t>
  </si>
  <si>
    <t>ชูทอง</t>
  </si>
  <si>
    <t>PENWADEE</t>
  </si>
  <si>
    <t>CHOOTHONG</t>
  </si>
  <si>
    <t>แก้วดอนไพร</t>
  </si>
  <si>
    <t>KAEOWDONPHAI</t>
  </si>
  <si>
    <t>30/3/2021</t>
  </si>
  <si>
    <t>ฐิตาภรณ์</t>
  </si>
  <si>
    <t>ชมเชย</t>
  </si>
  <si>
    <t>THITAPHON</t>
  </si>
  <si>
    <t>CHOMCHOEI</t>
  </si>
  <si>
    <t>คมกริช</t>
  </si>
  <si>
    <t>คุ้มพงษ์</t>
  </si>
  <si>
    <t>KOMKRICH</t>
  </si>
  <si>
    <t>KOOMPONG</t>
  </si>
  <si>
    <t>KESON.BUN</t>
  </si>
  <si>
    <t>กาญจนา</t>
  </si>
  <si>
    <t>เฟื่องอาวรณ์</t>
  </si>
  <si>
    <t>FUEANGARWON</t>
  </si>
  <si>
    <t>KANJANA.FUE</t>
  </si>
  <si>
    <t>เจ้าหน้าที่สุขศาสตร์</t>
  </si>
  <si>
    <t>อุทัยชาติ</t>
  </si>
  <si>
    <t>SUPHAPHON</t>
  </si>
  <si>
    <t>UTHAICHAT</t>
  </si>
  <si>
    <t>สุขศาสตร์ ผลิต 1</t>
  </si>
  <si>
    <t>เอกตาแสง</t>
  </si>
  <si>
    <t>SAYFON</t>
  </si>
  <si>
    <t>AEKTASAENG</t>
  </si>
  <si>
    <t>สมพาน</t>
  </si>
  <si>
    <t>ภูอาลัย</t>
  </si>
  <si>
    <t>SAMPAN</t>
  </si>
  <si>
    <t>PHUARLAI</t>
  </si>
  <si>
    <t>อรณี</t>
  </si>
  <si>
    <t>ORANEE</t>
  </si>
  <si>
    <t>CHAIRAT</t>
  </si>
  <si>
    <t>สุปราณี</t>
  </si>
  <si>
    <t>บุญศรีภิรัตน์</t>
  </si>
  <si>
    <t>SUPRANEE</t>
  </si>
  <si>
    <t>BOONSRIPIRUT</t>
  </si>
  <si>
    <t>พัชรพรรณ</t>
  </si>
  <si>
    <t>เพชรวิจิตร</t>
  </si>
  <si>
    <t>PATCHARAPAN</t>
  </si>
  <si>
    <t>PETWIJIT</t>
  </si>
  <si>
    <t>สุขศาสตร์ ผลิต 2</t>
  </si>
  <si>
    <t>ธัญวรัตน์</t>
  </si>
  <si>
    <t>เจริญสลุง</t>
  </si>
  <si>
    <t>THANWARAT</t>
  </si>
  <si>
    <t>CHAROENSALUNG</t>
  </si>
  <si>
    <t>ผู้ปฏิบัติการ (ล้างตะกร้า-D)</t>
  </si>
  <si>
    <t>โชคอนันต์</t>
  </si>
  <si>
    <t>สุดดี</t>
  </si>
  <si>
    <t>CHOKANAN</t>
  </si>
  <si>
    <t>SUDD</t>
  </si>
  <si>
    <t>เสาร์</t>
  </si>
  <si>
    <t>หอมหวล</t>
  </si>
  <si>
    <t>SAO</t>
  </si>
  <si>
    <t>HOMHUAL</t>
  </si>
  <si>
    <t>ศิริเพ็ญ</t>
  </si>
  <si>
    <t>ประสานตรี</t>
  </si>
  <si>
    <t>SIRIPHEN</t>
  </si>
  <si>
    <t>PRASANTRI</t>
  </si>
  <si>
    <t>ภูริทัต</t>
  </si>
  <si>
    <t>พานิช</t>
  </si>
  <si>
    <t>PHURITHAT</t>
  </si>
  <si>
    <t>PANIT</t>
  </si>
  <si>
    <t>ชนะชัย</t>
  </si>
  <si>
    <t>ดรุณจันทร์</t>
  </si>
  <si>
    <t>CHANACHAI</t>
  </si>
  <si>
    <t>DARUNJAN</t>
  </si>
  <si>
    <t>เจนิตา</t>
  </si>
  <si>
    <t>งานสันเทียะ</t>
  </si>
  <si>
    <t>JENITA</t>
  </si>
  <si>
    <t>NGANSANTHIA</t>
  </si>
  <si>
    <t>JENITA.NGA</t>
  </si>
  <si>
    <t>29/12/2020</t>
  </si>
  <si>
    <t>เจ้าหน้าที่ความปลอดภัย อาชีวอนามัยและสิ่งแวดล้อมอาวุโส</t>
  </si>
  <si>
    <t>โรงงานชำแหละและตัดแต่งสุกร</t>
  </si>
  <si>
    <t>วรุณยพันธ์</t>
  </si>
  <si>
    <t>WAROONYAPAN</t>
  </si>
  <si>
    <t>THANGCHAIWANNA</t>
  </si>
  <si>
    <t>waroonyapan.tha</t>
  </si>
  <si>
    <t>เจ้าหน้าที่ตรวจโรคสัตว์</t>
  </si>
  <si>
    <t>ปิยวรรณ</t>
  </si>
  <si>
    <t>PIYAWAN</t>
  </si>
  <si>
    <t>PIYAWAN.JUM</t>
  </si>
  <si>
    <t>20/6/2019</t>
  </si>
  <si>
    <t>17/10/2019</t>
  </si>
  <si>
    <t>เจ้าหน้าที่ธุรการผลิตสุกร</t>
  </si>
  <si>
    <t>มงคล</t>
  </si>
  <si>
    <t>PATARAPONG</t>
  </si>
  <si>
    <t>MONGKOL</t>
  </si>
  <si>
    <t>PATARAPONG.MON</t>
  </si>
  <si>
    <t>30/8/2005</t>
  </si>
  <si>
    <t>ผู้จัดการโรงงานสุกร</t>
  </si>
  <si>
    <t>รสิตา</t>
  </si>
  <si>
    <t>ศรีกงพาน</t>
  </si>
  <si>
    <t>RASITA</t>
  </si>
  <si>
    <t>SRIKONGPAN</t>
  </si>
  <si>
    <t>ผู้ปฏิบัติการ (สถิติและข้อมูล-D)</t>
  </si>
  <si>
    <t>อนุเดช</t>
  </si>
  <si>
    <t>ศิริลักษ์</t>
  </si>
  <si>
    <t>ปริยาพร</t>
  </si>
  <si>
    <t>หอมหวาน</t>
  </si>
  <si>
    <t>จุฑามาศ</t>
  </si>
  <si>
    <t>จันทร์กระจ่าง</t>
  </si>
  <si>
    <t>สลับกะกันวันไหน กลางวัน / กลาคืน</t>
  </si>
  <si>
    <t>วันพระ?</t>
  </si>
  <si>
    <t>เวลาเริ่มกะเท่ากันทุกวันมั้ย</t>
  </si>
  <si>
    <t>emp_id</t>
  </si>
  <si>
    <t>name</t>
  </si>
  <si>
    <t>skill</t>
  </si>
  <si>
    <t>level</t>
  </si>
  <si>
    <t>can_do</t>
  </si>
  <si>
    <t>ภัทรพงษ์ มงคล</t>
  </si>
  <si>
    <t>ออฟฟิศ</t>
  </si>
  <si>
    <t>ศุภชัย สามัคคี</t>
  </si>
  <si>
    <t>ชัยยันต์ ชุมกูล</t>
  </si>
  <si>
    <t>ประไพ โพธิ์สี</t>
  </si>
  <si>
    <t>นปภา แซ่เลี้ยว</t>
  </si>
  <si>
    <t>ภัทรพงษ์ ภากร</t>
  </si>
  <si>
    <t>คลัง จ่ายชิ้นส่วน</t>
  </si>
  <si>
    <t>คลัง เครื่องใน</t>
  </si>
  <si>
    <t>ธิราทิพย์ นิยมทอง</t>
  </si>
  <si>
    <t>วราพร เขียวสี</t>
  </si>
  <si>
    <t>สุข ผลิต ตัดแต่ง(2)</t>
  </si>
  <si>
    <t>วรรณา นิลคูหา</t>
  </si>
  <si>
    <t>นพดล มุขดารา</t>
  </si>
  <si>
    <t>จักรกริช อิ่นคำ</t>
  </si>
  <si>
    <t>กุ้ง อ่างบุญตา</t>
  </si>
  <si>
    <t>สุดาภรณ์ วงษ์เซ็น</t>
  </si>
  <si>
    <t>เกสร ซาวทองคำ</t>
  </si>
  <si>
    <t>ภานุวัฒน์ ดวงตา</t>
  </si>
  <si>
    <t>วิศวะ กลางวัน</t>
  </si>
  <si>
    <t>วิศวะ กลางคืน</t>
  </si>
  <si>
    <t>เรณู อุทุมพิรัตน์</t>
  </si>
  <si>
    <t>เครื่ื่องในแดง</t>
  </si>
  <si>
    <t>อัชฌาณัฐฏ์ พิภูธนัตถ์</t>
  </si>
  <si>
    <t>คลัง รับผลได้ชิ้นส่วน</t>
  </si>
  <si>
    <t>วิมล คัมภิรานนท์</t>
  </si>
  <si>
    <t>วิลาวรรณ คัมภิรานนท์</t>
  </si>
  <si>
    <t>สหชาติ มูลเงิน</t>
  </si>
  <si>
    <t>ดวงพร อุ่นกระมล</t>
  </si>
  <si>
    <t>พิชิต บุษฎา</t>
  </si>
  <si>
    <t>ภัทรวดี ทองจุ้ย</t>
  </si>
  <si>
    <t>ขวัญชัย โพธิ์ปิ่น</t>
  </si>
  <si>
    <t>ปิยวรรณ ศรีสุข</t>
  </si>
  <si>
    <t>ชญาดา ทองกระจ่าง</t>
  </si>
  <si>
    <t>มนตรี ม่วงเจริญ</t>
  </si>
  <si>
    <t>คลัง ดันหมู</t>
  </si>
  <si>
    <t>สมใจ จีรัตน์</t>
  </si>
  <si>
    <t>สุข ผลิต เชือด(1)</t>
  </si>
  <si>
    <t>ศิกวัส ภู่พัฒน์</t>
  </si>
  <si>
    <t>QC ตัดแต่ง</t>
  </si>
  <si>
    <t>ธมนพัชร์ วงศ์สุนันท์</t>
  </si>
  <si>
    <t>ฉัตรชัย วรรณา</t>
  </si>
  <si>
    <t>อนัญญา ปทุมสูตร</t>
  </si>
  <si>
    <t>ณัฐพล ทองจันทร์</t>
  </si>
  <si>
    <t>วิภารัตน์ เมืองสวัสดิ์</t>
  </si>
  <si>
    <t>ณัฐพล เคลือบด้วง</t>
  </si>
  <si>
    <t>สายฝน สังข์หอย</t>
  </si>
  <si>
    <t>ธีระพงษ์ เป็งหมู</t>
  </si>
  <si>
    <t>เทพรังสรรค์ มั่นคง</t>
  </si>
  <si>
    <t>สาวิตรี สุธาตุ</t>
  </si>
  <si>
    <t>สุวิมล พงษ์เถื่อน</t>
  </si>
  <si>
    <t>มนตรี วันศิริ</t>
  </si>
  <si>
    <t>เกรียงไกร อินทรภูติ</t>
  </si>
  <si>
    <t>สัญญา สุขแจ้งแสงทอง</t>
  </si>
  <si>
    <t>สราวุธ โต้ตอบ</t>
  </si>
  <si>
    <t>ธวัชชัย เชนชาญ</t>
  </si>
  <si>
    <t>คลัง Picking</t>
  </si>
  <si>
    <t>ศราวุฒิ พะศรี</t>
  </si>
  <si>
    <t>ธัญญารัตน์ สีดา</t>
  </si>
  <si>
    <t>เฉลียว จิตตะคาม</t>
  </si>
  <si>
    <t>นภาพร เพ็ชรโต</t>
  </si>
  <si>
    <t>นุชสรา ผิวเณร</t>
  </si>
  <si>
    <t>นราวุฒิ บัวลพ</t>
  </si>
  <si>
    <t>เขมิกา ศิริบาง</t>
  </si>
  <si>
    <t>จักรพงษ์ ผลมะขาม</t>
  </si>
  <si>
    <t>ดิษฐวัฒน์ ทองคำพุฒิพัฒน์</t>
  </si>
  <si>
    <t>วรรณพงษ์ สุนทรนันท์</t>
  </si>
  <si>
    <t>พิศาล ปัญญายงค์</t>
  </si>
  <si>
    <t>จินดามณี บุตเกิง</t>
  </si>
  <si>
    <t>สุเมษา มั่นศรี</t>
  </si>
  <si>
    <t>นิศากร วิพันธุ์เงิน</t>
  </si>
  <si>
    <t>ปิยะพงษ์ ใบทอง</t>
  </si>
  <si>
    <t>สายฝน เอกตาแสง</t>
  </si>
  <si>
    <t>อารยา เรืองชาติ</t>
  </si>
  <si>
    <t>ศิริรัตน์ โพธิ์ศรี</t>
  </si>
  <si>
    <t>อัมพิกา พระนอนเขตร</t>
  </si>
  <si>
    <t>ภานุวัฒน์ กำศร</t>
  </si>
  <si>
    <t>อรพรรณ คงมี</t>
  </si>
  <si>
    <t>ธันธร ทัพศาสตร์</t>
  </si>
  <si>
    <t>ธรรมรัตน์ บุญมา</t>
  </si>
  <si>
    <t>ณัฐวศา ทองมาลา</t>
  </si>
  <si>
    <t>เสกสรร ทิพย์ศรี</t>
  </si>
  <si>
    <t>พิเชฐ มณีอินทร์</t>
  </si>
  <si>
    <t>LIHOR HAN</t>
  </si>
  <si>
    <t>จริยา สุวรรณโชติ</t>
  </si>
  <si>
    <t>QC เชือด</t>
  </si>
  <si>
    <t>ลิขิต แจ้งกมล</t>
  </si>
  <si>
    <t>ธีรยุทธ วันศิริ</t>
  </si>
  <si>
    <t>วิภา จิรังดา</t>
  </si>
  <si>
    <t>มานพ นวนแก้ว</t>
  </si>
  <si>
    <t>อมิตา บุตรเตือน</t>
  </si>
  <si>
    <t>สายฝน ฉันทิบ</t>
  </si>
  <si>
    <t>สุพัตรา เพียรสมผล</t>
  </si>
  <si>
    <t>ศราวุธ สุทชา</t>
  </si>
  <si>
    <t>QC คลังชิ้นส่วน</t>
  </si>
  <si>
    <t>พรชนก ดาศรี</t>
  </si>
  <si>
    <t>วันชัย คัมภิรานนท์</t>
  </si>
  <si>
    <t>ศิรภัสสร บุญยมาลิก</t>
  </si>
  <si>
    <t>จักรภัทร ชำนาญปืน</t>
  </si>
  <si>
    <t>ณัฐพล รามัญ</t>
  </si>
  <si>
    <t>คลัง จ่ายซีก</t>
  </si>
  <si>
    <t>เกวลิน สาระ</t>
  </si>
  <si>
    <t>SREYMOM IEM</t>
  </si>
  <si>
    <t>SIN YA</t>
  </si>
  <si>
    <t>CHANTHA EAM</t>
  </si>
  <si>
    <t>สุรศักดิ์ สุ่มเงิน</t>
  </si>
  <si>
    <t>ณัฐพร ทัพศาสตร์</t>
  </si>
  <si>
    <t>วรรณิศา ศรีทอง</t>
  </si>
  <si>
    <t>กาญจนา เฟื่องอาวรณ์</t>
  </si>
  <si>
    <t>ชนะพล ก๊กพิทักษ์</t>
  </si>
  <si>
    <t>พลาพร คชสาร</t>
  </si>
  <si>
    <t>สุธิตรี สุรินทร์</t>
  </si>
  <si>
    <t>อรพิมพ์ เสมาทอง</t>
  </si>
  <si>
    <t>จักรี บุ้งจันทร์</t>
  </si>
  <si>
    <t>จิราพรรณ เทียนทอง</t>
  </si>
  <si>
    <t>นิตชฎา จันดากรณ์</t>
  </si>
  <si>
    <t>ธรรมรัตน์ โฉมทัพ</t>
  </si>
  <si>
    <t>พัชรา ทีวงษ์</t>
  </si>
  <si>
    <t>NAN SARON</t>
  </si>
  <si>
    <t>พรไพลิน ฉายลม</t>
  </si>
  <si>
    <t>อุทิศ โพธิ์ทอง</t>
  </si>
  <si>
    <t>สุภาพร คำประดิษฐ</t>
  </si>
  <si>
    <t>สมัชญา โทสุวรรณ์</t>
  </si>
  <si>
    <t>HAN YIM</t>
  </si>
  <si>
    <t>RIN HUY</t>
  </si>
  <si>
    <t>YUM EAM</t>
  </si>
  <si>
    <t>TAI SIM</t>
  </si>
  <si>
    <t>UOCH NOV</t>
  </si>
  <si>
    <t>ชลลดา หมวกเหล็ก</t>
  </si>
  <si>
    <t>Office</t>
  </si>
  <si>
    <t>กฤษณะ หนูสิทธิ์</t>
  </si>
  <si>
    <t>น้ำอ้อย สีน้ำเงิน</t>
  </si>
  <si>
    <t>พีรพัฒน์ สุขพันธ์</t>
  </si>
  <si>
    <t>รสิตา ศรีกงพาน</t>
  </si>
  <si>
    <t>ศรีสุดาพร โพธิ์นอก</t>
  </si>
  <si>
    <t>สุทธิพร นุชพิเรนทร์</t>
  </si>
  <si>
    <t>พัณณ์ชิตา ตั้งชัยวรรณา</t>
  </si>
  <si>
    <t>กฤษณะ ชินทรักษา</t>
  </si>
  <si>
    <t>คลัง ตะกร้า</t>
  </si>
  <si>
    <t>อภิชัย พิมพ์สุวรรณ</t>
  </si>
  <si>
    <t>จำปา ภูสุรินทร์</t>
  </si>
  <si>
    <t>สไลด์</t>
  </si>
  <si>
    <t>ชนะชัย ดรุณจันทร์</t>
  </si>
  <si>
    <t>เอนก ดวงรัตน์</t>
  </si>
  <si>
    <t>พงศกร ชัยประเสริฐ</t>
  </si>
  <si>
    <t>ขนิษฐา แนบเนียน</t>
  </si>
  <si>
    <t>น้ำฝน สงวนนาม</t>
  </si>
  <si>
    <t>เบญจมาส โพธิ์ศรี</t>
  </si>
  <si>
    <t>สุขสันต์ สุวรรณรังษี</t>
  </si>
  <si>
    <t>ก้องรวี นวลสาลี</t>
  </si>
  <si>
    <t>วงศ์ธร สว่างแสง</t>
  </si>
  <si>
    <t>SAMNANG LOUCH</t>
  </si>
  <si>
    <t>ธนาธรณ์ ใยทอง</t>
  </si>
  <si>
    <t>ศรัณย์ กองศรี</t>
  </si>
  <si>
    <t>ปวริศา ภิรมยา</t>
  </si>
  <si>
    <t>สุภัทร์ตรา ยามสุข</t>
  </si>
  <si>
    <t>ยุวดี รันขุนทด</t>
  </si>
  <si>
    <t>อานนท์ เลิศมะเลา</t>
  </si>
  <si>
    <t>โชคอนันต์ สุดดี</t>
  </si>
  <si>
    <t>ทรงยศ เกิดขาว</t>
  </si>
  <si>
    <t>พรวดี วงษ์เซ็น</t>
  </si>
  <si>
    <t>เพ็ญพิชชา สาแขม</t>
  </si>
  <si>
    <t>นัฐพงษ์ ไหวพริบ</t>
  </si>
  <si>
    <t>ขนิษฐา หนูประเสริฐ</t>
  </si>
  <si>
    <t>ศิริพร ศรีทอง</t>
  </si>
  <si>
    <t>วศร นพรัตน์</t>
  </si>
  <si>
    <t>อนุวัฒน์ สมนวน</t>
  </si>
  <si>
    <t>จริยา เจริญใส</t>
  </si>
  <si>
    <t>ชยุต ธาทนะปรีดา</t>
  </si>
  <si>
    <t>ภัทรา บุญวงศ์</t>
  </si>
  <si>
    <t>วธิดาภรณ์ สายทอง</t>
  </si>
  <si>
    <t>สรีรัญ วันศิริ</t>
  </si>
  <si>
    <t>สุกัญญา ทัดอยู่</t>
  </si>
  <si>
    <t>หมูบด</t>
  </si>
  <si>
    <t>สุภาภรณ์ บัวกุล</t>
  </si>
  <si>
    <t>สุวิมล ธรรมโชติ</t>
  </si>
  <si>
    <t>ยุทธนา ภูทอง</t>
  </si>
  <si>
    <t>สุรเชษฐ แก้วนก</t>
  </si>
  <si>
    <t>รัฏฐิณี ส่งแก้ว</t>
  </si>
  <si>
    <t>อมรเณศ หนูประเสริฐ</t>
  </si>
  <si>
    <t>ยอด ยิ่งจำเริญ</t>
  </si>
  <si>
    <t>วณิชา ปานอารีย์</t>
  </si>
  <si>
    <t>สุกานดา เพ็งมาศ</t>
  </si>
  <si>
    <t>นัสฐา จันทราศรี</t>
  </si>
  <si>
    <t>นครินทร์ มะลิทอง</t>
  </si>
  <si>
    <t>นันทวุฒิ จันทร์สุข</t>
  </si>
  <si>
    <t>ฤทธิไกร เนตรสว่าง</t>
  </si>
  <si>
    <t>สุวรีณา พรหมพิทักษ์</t>
  </si>
  <si>
    <t>อรชร ซื่อจริงรักษ์วาจา</t>
  </si>
  <si>
    <t>บุษบา เทพตาแสง</t>
  </si>
  <si>
    <t>ฉวีวรรณ ภาวะนิตย์</t>
  </si>
  <si>
    <t>เกษรา เศษขุนทด</t>
  </si>
  <si>
    <t>ทัศนีย์ โสภา</t>
  </si>
  <si>
    <t>ธัญญาเรศ ศิริพัฒน์</t>
  </si>
  <si>
    <t>นันทิยา เลียบคม</t>
  </si>
  <si>
    <t>มะลิวัลย์ เลียบคม</t>
  </si>
  <si>
    <t>จักรพงษ์ วงศ์สวรรค์</t>
  </si>
  <si>
    <t>ศิรศักดิ์ ฟักเขียว</t>
  </si>
  <si>
    <t>เติม ขวัญเมือง</t>
  </si>
  <si>
    <t>น้ำผึ้ง บุญมา</t>
  </si>
  <si>
    <t>ปราโมทย์ คมขำ</t>
  </si>
  <si>
    <t>มนต์นภา ทาถี</t>
  </si>
  <si>
    <t>สรัญญา ดับทุกข์</t>
  </si>
  <si>
    <t>เฉลิมพร จักรักษา</t>
  </si>
  <si>
    <t>ธีร์ธวัช พัสกุล</t>
  </si>
  <si>
    <t>ภาวิณี นิลสุวรรณ</t>
  </si>
  <si>
    <t>รพีพร แก้วเลิศ</t>
  </si>
  <si>
    <t>HONG KHEANG</t>
  </si>
  <si>
    <t>น้ำหอม สิงหะ</t>
  </si>
  <si>
    <t>วันชัย ชมชาติ</t>
  </si>
  <si>
    <t>เผาขา+ต้มเลือด</t>
  </si>
  <si>
    <t>อณุเดช สองใหม่</t>
  </si>
  <si>
    <t>อดิศักดิ์ แก้วสีนอ</t>
  </si>
  <si>
    <t>ราตรี จันดา</t>
  </si>
  <si>
    <t>จตุรภัทร แย้มพลาย</t>
  </si>
  <si>
    <t>ณรงค์ฤทธิ์ พรมจารีย์</t>
  </si>
  <si>
    <t>ณรงค์ศักดิ์ เสมแก้ว</t>
  </si>
  <si>
    <t>นิตยา มีมานะ</t>
  </si>
  <si>
    <t>บัณฑิตา ปิ่นเกตุ</t>
  </si>
  <si>
    <t>ANZALI MOE -</t>
  </si>
  <si>
    <t>HNIN YU SHWE -</t>
  </si>
  <si>
    <t>PHARY KAB</t>
  </si>
  <si>
    <t>THET ZIN AYE -</t>
  </si>
  <si>
    <t>YOON YATI AUNG -</t>
  </si>
  <si>
    <t>AUNG AUNG -</t>
  </si>
  <si>
    <t>YOEURN HEAB</t>
  </si>
  <si>
    <t>MYO LIN OO -</t>
  </si>
  <si>
    <t>NING OO -</t>
  </si>
  <si>
    <t>ZIN MIN THU -</t>
  </si>
  <si>
    <t>THUYA LIN -</t>
  </si>
  <si>
    <t>AYE NYEIN THU -</t>
  </si>
  <si>
    <t>KATA KYAW -</t>
  </si>
  <si>
    <t>LIN -</t>
  </si>
  <si>
    <t>MA SOE SOE AYE -</t>
  </si>
  <si>
    <t>MA THADAR -</t>
  </si>
  <si>
    <t>NAY ZAR LIN -</t>
  </si>
  <si>
    <t>NWE NI NAING -</t>
  </si>
  <si>
    <t>OHNMAR MYINT -</t>
  </si>
  <si>
    <t>PHOE KYAW -</t>
  </si>
  <si>
    <t>THIN THIN KHAING -</t>
  </si>
  <si>
    <t>TUN NANDA -</t>
  </si>
  <si>
    <t>YI LIN -</t>
  </si>
  <si>
    <t>ZAW MIN OO -</t>
  </si>
  <si>
    <t>ดวงหทัย กัญจะนา</t>
  </si>
  <si>
    <t>เสาร์ หอมหวล</t>
  </si>
  <si>
    <t>ดาราวรรณ แขกช้อย</t>
  </si>
  <si>
    <t>นพรัตน์ มะลิทอง</t>
  </si>
  <si>
    <t>ยุทธศาสตร์ ใยสว่าง</t>
  </si>
  <si>
    <t>สังเวียน ทองไพบูลย์</t>
  </si>
  <si>
    <t>พงษ์พิชัย เขียนสอาด</t>
  </si>
  <si>
    <t>จันทราภร สีสุรัตน์</t>
  </si>
  <si>
    <t>ชลธิชา ศรีทองสุก</t>
  </si>
  <si>
    <t>อุดม เรืองบุบผา</t>
  </si>
  <si>
    <t>อดิศักดิ์ ผาสุขธรรม</t>
  </si>
  <si>
    <t>วีระพล สุ่มเงิน</t>
  </si>
  <si>
    <t>วัฒธนศิล บุญสา</t>
  </si>
  <si>
    <t>มนตรี คงนิ่ม</t>
  </si>
  <si>
    <t>ปนัดดา ศรีวารี</t>
  </si>
  <si>
    <t>กนกวรรณ ไตรพรหม</t>
  </si>
  <si>
    <t>ดรุณี แถวทับ</t>
  </si>
  <si>
    <t>ปิยพร ภักดีพล</t>
  </si>
  <si>
    <t>ศิริวรรณ มัทราช</t>
  </si>
  <si>
    <t>ประกอบกูล บัวแย้ม</t>
  </si>
  <si>
    <t>ศราวุธ ขวัญเมือง</t>
  </si>
  <si>
    <t>ปวีณา แก้วบุญเพิ่ม</t>
  </si>
  <si>
    <t>EI THET HNIN MAUNG -</t>
  </si>
  <si>
    <t>AUNG THET OO -</t>
  </si>
  <si>
    <t>KHANT ZAR NI TUN -</t>
  </si>
  <si>
    <t>NAN LIN HTET -</t>
  </si>
  <si>
    <t>SOE AUNG -</t>
  </si>
  <si>
    <t>SU PHYO HTAY -</t>
  </si>
  <si>
    <t>YAWIN -</t>
  </si>
  <si>
    <t>TWE TWE SOE -</t>
  </si>
  <si>
    <t>YETAY -</t>
  </si>
  <si>
    <t>HTET HTET AUNG -</t>
  </si>
  <si>
    <t>SHWE YAMIN -</t>
  </si>
  <si>
    <t>ZAW YE THWIN -</t>
  </si>
  <si>
    <t>กรรณิกา สิมมา</t>
  </si>
  <si>
    <t>ธัญญรัตน์ ไกรยเดช</t>
  </si>
  <si>
    <t>สกุลณี ดีอินทร์</t>
  </si>
  <si>
    <t>สุนิศา เอนกวัฒน์</t>
  </si>
  <si>
    <t>ณัฐพล จันทร์สีขาว</t>
  </si>
  <si>
    <t>ธีระนัย บางสุวรรณ์</t>
  </si>
  <si>
    <t>พงศกร สิงห์เสรี</t>
  </si>
  <si>
    <t>ศิริพร เอี่ยมเจริญ</t>
  </si>
  <si>
    <t>สุดาทิพย์ พงษ์ศร</t>
  </si>
  <si>
    <t>สุนิษา เฉลยมนต์</t>
  </si>
  <si>
    <t>กรรชัย คำฟู</t>
  </si>
  <si>
    <t>ณัฐพล รอดดี</t>
  </si>
  <si>
    <t>สุทธิราช ชูดอกไม้</t>
  </si>
  <si>
    <t>ผกามาศ หอมจันทร์</t>
  </si>
  <si>
    <t>อรพรรณ แหวนครุฑ</t>
  </si>
  <si>
    <t>กฤษณ์ กำทรัพย์</t>
  </si>
  <si>
    <t>ณัฐวุฒิ ฟักศรี</t>
  </si>
  <si>
    <t>รพีภัทร มีสัตย์</t>
  </si>
  <si>
    <t>ธนวัฒน์ บัวเขียว</t>
  </si>
  <si>
    <t>AYAR AUNG -</t>
  </si>
  <si>
    <t>MG KO KO -</t>
  </si>
  <si>
    <t>MYINT SANDAR TUN -</t>
  </si>
  <si>
    <t>NAN KHIN MYO SAN -</t>
  </si>
  <si>
    <t>NYI NYI NAING -</t>
  </si>
  <si>
    <t>PYAE PHYO AUNG -</t>
  </si>
  <si>
    <t>SANDAR WIN -</t>
  </si>
  <si>
    <t>SHELL SHELL MHAYIE -</t>
  </si>
  <si>
    <t>SU MYAT THIN -</t>
  </si>
  <si>
    <t>WUNNA THWIN -</t>
  </si>
  <si>
    <t>YE WAI -</t>
  </si>
  <si>
    <t>ZIN MAR SHWE -</t>
  </si>
  <si>
    <t>HNIN NUWAI -</t>
  </si>
  <si>
    <t>KYAW WIN HTAY -</t>
  </si>
  <si>
    <t>ลำดับที่</t>
  </si>
  <si>
    <t>รหัสพนักงาน</t>
  </si>
  <si>
    <t>ชื่อ-นามสกุล</t>
  </si>
  <si>
    <t>วันหยุดประจำสัปดาห์</t>
  </si>
  <si>
    <t>จริยา สุวรรณโชติ (จิ๊บ)</t>
  </si>
  <si>
    <t>เชือด</t>
  </si>
  <si>
    <t>เครื่องในแดง 1</t>
  </si>
  <si>
    <t>อภัตรชา เบ็ญจวรรณ</t>
  </si>
  <si>
    <t>เชือด 1</t>
  </si>
  <si>
    <t>รจนา โทยิ้ม</t>
  </si>
  <si>
    <t>เครื่องในขาว 1</t>
  </si>
  <si>
    <t>ผ่าซาก 1</t>
  </si>
  <si>
    <t>เกวลิน    สาระ    (พลอย)</t>
  </si>
  <si>
    <t>ส.</t>
  </si>
  <si>
    <t>ธนนันท์ เดชเสริมศรี (ดี้)</t>
  </si>
  <si>
    <t>รสิตา    วรอรรถ    (เครป)</t>
  </si>
  <si>
    <t>ศ.</t>
  </si>
  <si>
    <t>กิตติชัย  ดีคำไฮ (อังกอร์)</t>
  </si>
  <si>
    <t>อาทิตย์</t>
  </si>
  <si>
    <t>รัตติกาล จั่นเสือ</t>
  </si>
  <si>
    <t>ศราวุธ ศิริรวง</t>
  </si>
  <si>
    <t>ชนธิชา ปัดทะสี</t>
  </si>
  <si>
    <t>ชนะพล    ก๊กพิทักษ์    (อ๊อฟ)</t>
  </si>
  <si>
    <t>ศราวุธ สุทชา (อาร์ท)</t>
  </si>
  <si>
    <t>วณิชา ปนอารีย์</t>
  </si>
  <si>
    <t>อรอุมา ชัชวงษ์</t>
  </si>
  <si>
    <t>พิเพชฐ สุขเลี้ยง</t>
  </si>
  <si>
    <t>สุดารัตน์    สิงห์กล้า    (เม่น)</t>
  </si>
  <si>
    <t>อ.</t>
  </si>
  <si>
    <t>ศิกวัส ภู่พัฒน์ (แมต)</t>
  </si>
  <si>
    <t>กฤษดา คลังทรัพย์</t>
  </si>
  <si>
    <t>สมยศ เม่นน้อย</t>
  </si>
  <si>
    <t>นำโชค สุขเลี้ยง</t>
  </si>
  <si>
    <t>ธมนพัชร์    วงศ์สุนันท์    (ติ๊ก)</t>
  </si>
  <si>
    <t>ศุกร์</t>
  </si>
  <si>
    <t>SETH TORNG</t>
  </si>
  <si>
    <t>ภูวดล หงส์ประสิทธิ์</t>
  </si>
  <si>
    <t>โชติกา    นาคสุทธิ์    (กิ๊ฟ)</t>
  </si>
  <si>
    <t>พฤ.</t>
  </si>
  <si>
    <t>นภาพร สุรินทร์ (เกด)</t>
  </si>
  <si>
    <t>LA LAM</t>
  </si>
  <si>
    <t>กำธร บัวเล็ก</t>
  </si>
  <si>
    <t>ณัฐพร    ทัพศาสตร์    (นัฐ)</t>
  </si>
  <si>
    <t>จ.</t>
  </si>
  <si>
    <t>เบญจมาส โพธิ์ศรี (เก่ง)</t>
  </si>
  <si>
    <t>ดาวเรือง นาคสังข์</t>
  </si>
  <si>
    <t>เครื่องในแดง 2</t>
  </si>
  <si>
    <t>นายเติม ขวัญเมือง</t>
  </si>
  <si>
    <t>วิมลรัตน์ เมืองสวัส</t>
  </si>
  <si>
    <t>MR. KYAW THU SOE</t>
  </si>
  <si>
    <t>สุดาภรณ์    วงษ์เซ็น    (กาน)</t>
  </si>
  <si>
    <t>พ.</t>
  </si>
  <si>
    <t>นพพร คำจำรูญ (คะนิ้ง)</t>
  </si>
  <si>
    <t>นายพีรวัฒน์ สีสอน</t>
  </si>
  <si>
    <t>MR. NYI NYI NAING</t>
  </si>
  <si>
    <t>ณัฐพล    เคลือบด้วง    (เซ็นส์)</t>
  </si>
  <si>
    <t>สุภาพร คำประดิษฐ (ส้ม)</t>
  </si>
  <si>
    <t>อังคาร</t>
  </si>
  <si>
    <t>อมลรัตน์ คำนิสา</t>
  </si>
  <si>
    <t>MR. PYAE PHYO AUNG</t>
  </si>
  <si>
    <t>MISS SANDAR WIN</t>
  </si>
  <si>
    <t>ภัษณุ เขาทอง</t>
  </si>
  <si>
    <t>สุกัญญา    มั่นชื่น    (เปา)</t>
  </si>
  <si>
    <t>วิรัชยาภรณ์ บุญเรือง (เดียร์)</t>
  </si>
  <si>
    <t>จันทร์</t>
  </si>
  <si>
    <t>MISS NAN KHIN MYO SAN</t>
  </si>
  <si>
    <t>ณรงค์ฤทธิ์ พรมจารีย</t>
  </si>
  <si>
    <t>พรวดี    วงษ์เซ็น    (เพลง)</t>
  </si>
  <si>
    <t>สุนิษา ฉลยมนต์ (แฟง)</t>
  </si>
  <si>
    <t>พุธ</t>
  </si>
  <si>
    <t>MISS SHELL SHELL MHAYIE</t>
  </si>
  <si>
    <t>อภิสิทธิ์ คำนิสา</t>
  </si>
  <si>
    <t>เชือด 2</t>
  </si>
  <si>
    <t>วรกพ ชูเกาะ</t>
  </si>
  <si>
    <t>อ้อยทิพย์ แจ้งสงค์</t>
  </si>
  <si>
    <t>ผ่าซาก 2</t>
  </si>
  <si>
    <t>16.00-1.00</t>
  </si>
  <si>
    <t>จ่ายชิ้นส่วนกะ1</t>
  </si>
  <si>
    <t>นัฐพงษ์    ไหวพริบ    (นัด)</t>
  </si>
  <si>
    <t>พัชราภรณ์  แก้วใส(บีม)</t>
  </si>
  <si>
    <t>MISS SU MYAT THIN</t>
  </si>
  <si>
    <t>สุกัญญา นาร้อยเอ็ด</t>
  </si>
  <si>
    <t>สราวุธ    โต้ตอบ    (วุธ)</t>
  </si>
  <si>
    <t>พลาพร คชสาร (อุ๋ย)</t>
  </si>
  <si>
    <t>จีรนุช บุญปารุง</t>
  </si>
  <si>
    <t>LOUCH VON</t>
  </si>
  <si>
    <t>สุกานดา โอระน่า</t>
  </si>
  <si>
    <t>สัญญา    อนุสิทธิ์    (บอย)</t>
  </si>
  <si>
    <t>กมลชนก ภูทอง (ส้ม)</t>
  </si>
  <si>
    <t>CHAMNIT NAI</t>
  </si>
  <si>
    <t>เครื่องในขาว 2</t>
  </si>
  <si>
    <t>อนันตญา พงเสมา (คนท้อง)</t>
  </si>
  <si>
    <t>ปวริศา    ภิรมยา    (นิว)</t>
  </si>
  <si>
    <t>อรัญญา วงษ์ตา (ดาว)</t>
  </si>
  <si>
    <t>พฤหัส</t>
  </si>
  <si>
    <t>อุมาพร แจ่มจันทร์</t>
  </si>
  <si>
    <t>ทรงยศ    เกิดขาว    (ยศ)</t>
  </si>
  <si>
    <t>ชลลดา หมวกเหล็ก (ดรีม)</t>
  </si>
  <si>
    <t>สมชาย กุลเล็ก</t>
  </si>
  <si>
    <t>เอกน ดวงรัตน์</t>
  </si>
  <si>
    <t>ชยุต    ธาทนะปรีดา    (ตั้ม)</t>
  </si>
  <si>
    <t>ศิรภัสสร บุญยมาลิก (แบม)</t>
  </si>
  <si>
    <t>อนุเดช สองใหม่</t>
  </si>
  <si>
    <t>อดิศักดิ์    ผาสุขธรรม(เอก)</t>
  </si>
  <si>
    <t>อา.</t>
  </si>
  <si>
    <t>จิราภา มณีสุข</t>
  </si>
  <si>
    <t>MR. WUNNA THWIN</t>
  </si>
  <si>
    <t>ยุทธนา    ภูทอง    (อ้วน)</t>
  </si>
  <si>
    <t>MR.ZAW MYO AUNG</t>
  </si>
  <si>
    <t>อริย    เสนาะสลุง    (นิว)</t>
  </si>
  <si>
    <t>สิทธิ์ศักดิ์ สุวรรณ์</t>
  </si>
  <si>
    <t>สุพัตรา เพรียสมผล</t>
  </si>
  <si>
    <t>ศิริลักษ์ เนตรสว่าง</t>
  </si>
  <si>
    <t>จ่ายชิ้นส่วนกะ2</t>
  </si>
  <si>
    <t>ณัฐพล    ทองจันทร์    (ต้น)</t>
  </si>
  <si>
    <t>ยอด ยิ่งจ่าเจริญ</t>
  </si>
  <si>
    <t>วิภารัตน์    เมืองสวัสดิ์    (แอน)</t>
  </si>
  <si>
    <t>ธนูทรัพย์    กองปัญญา    (นู)</t>
  </si>
  <si>
    <t>MR. AYAR AUNG</t>
  </si>
  <si>
    <t>ณัฐพล    รามัญ    (บอส)</t>
  </si>
  <si>
    <t>MR. MG KO KO</t>
  </si>
  <si>
    <t>HNIN NU WAT</t>
  </si>
  <si>
    <t>รชานนท์    นาเจริญ    (นนท์)</t>
  </si>
  <si>
    <t>ธีรนัย    ชุลวงศ์    (ที)</t>
  </si>
  <si>
    <t>สุภัทรตรา    ยามสุข    (ออย)</t>
  </si>
  <si>
    <t xml:space="preserve">    ศุภชัย    เที่ยงตรง    (อ๊อฟ)</t>
  </si>
  <si>
    <t>อนุภัทร    ชูเชิด(ฟลุ๊ค)</t>
  </si>
  <si>
    <t>จ่ายชิ้นส่วนกะ3</t>
  </si>
  <si>
    <t>จักรพงษ์    ผลมะขาม    (แมน)</t>
  </si>
  <si>
    <t>พงศกร    ชัยประเสริฐ    (ไฟส์)</t>
  </si>
  <si>
    <t>อภิชัย    พิมพ์วรรณ    (โบ๊ท)</t>
  </si>
  <si>
    <t>ธนาธรณ์    ใยทอง    (อาท)</t>
  </si>
  <si>
    <t>บุญหลง    เจริญธรรม    (หลง)</t>
  </si>
  <si>
    <t>กิตติพล    บุญครุฑ    (แอล)</t>
  </si>
  <si>
    <t>กนกวรรณ    ไตรพรหม(นัท)</t>
  </si>
  <si>
    <t>พีรพัฒน์    สุขพันธ์    (แฟ้ม)</t>
  </si>
  <si>
    <t>รับผลได้ชิ้นส่วน กลางวัน</t>
  </si>
  <si>
    <t>ธวัชชัย    เชนชาญ    (กอล์ฟ)</t>
  </si>
  <si>
    <t>นภาพร    เพชรโต    (แวว)</t>
  </si>
  <si>
    <t>นพดล    มุขดารา    (เต้ย)</t>
  </si>
  <si>
    <t>กฤษณะ    ชินทรักษา    (กระต่าย)</t>
  </si>
  <si>
    <t>CHANTHA    EAM    (จันทา)</t>
  </si>
  <si>
    <t>วงศ์ธร    สว่างแสง    (เต้)</t>
  </si>
  <si>
    <t>สหภาพ    โพธิ์ศรี(เฟรม)</t>
  </si>
  <si>
    <t>นันทวุฒิ    จันทร์สุข    (พีท)</t>
  </si>
  <si>
    <t>รับผลได้ชิ้นส่วน กลางคืน</t>
  </si>
  <si>
    <t>วรเวช    พิมสว่าง    (มาร์ค)</t>
  </si>
  <si>
    <t>สหชาติ    มูลเงิน    (อาร์ม)</t>
  </si>
  <si>
    <t>พงษ์พิชัย    เขียนสอาด(ทิว)</t>
  </si>
  <si>
    <t xml:space="preserve">ลิขิต    แจ้งกมล    (ไฮ)    </t>
  </si>
  <si>
    <t xml:space="preserve">อำพล    เจริญศรี    (เก็ท)    </t>
  </si>
  <si>
    <t>จ่ายหมูซีก1</t>
  </si>
  <si>
    <t>สาวิตรี    สุธาตุ    (นุ๊ก)</t>
  </si>
  <si>
    <t>มนตรี    วันศิริ    (จ้อน)</t>
  </si>
  <si>
    <t>สุทธิพร    นุชพิเรนทร์    (เจ)</t>
  </si>
  <si>
    <t xml:space="preserve">ธีรยุทธ    วันศิริ    (ต้า)    </t>
  </si>
  <si>
    <t>ศรัณย์    กองศรี    (ใหญ่)</t>
  </si>
  <si>
    <t>วศร    นพรัตน์    (ก๊อบ)</t>
  </si>
  <si>
    <t xml:space="preserve">ฤทธิไกร    เนตรสว่าง    (หมู)    </t>
  </si>
  <si>
    <t>จ่ายหมูซีก2</t>
  </si>
  <si>
    <t>อนัญญา    ปทุมสูตร    (กบ)</t>
  </si>
  <si>
    <t>สุเมษา    มั่นศรี    (เบ๊นซ์1)</t>
  </si>
  <si>
    <t>พิพัฒน์    จรดล    (เบ๊นซ์2)</t>
  </si>
  <si>
    <t>จักรภัทร    ชำนาญปืน    (จักร)</t>
  </si>
  <si>
    <t>พิศาล    ปัญญายงค์    (ตูม)</t>
  </si>
  <si>
    <t>อดิศักดิ์    แก้วสีนอ    (เกอร์)</t>
  </si>
  <si>
    <t>พงศธร    เขียนสอาด    (ก๊อง)</t>
  </si>
  <si>
    <t>เครื่องใน1</t>
  </si>
  <si>
    <t>ธันธร    ทัพศาสตร์    (กี้)</t>
  </si>
  <si>
    <t>สรีรัญ    วันศิริ    (มิ้น)</t>
  </si>
  <si>
    <t>คณัสนันท์    ธรรมโชติ    (โฟค)</t>
  </si>
  <si>
    <t>วรภพ    ชูเกาะ    (ออย)</t>
  </si>
  <si>
    <t>วัฒธนศิล    บุญสา(แบงค์)</t>
  </si>
  <si>
    <t>เครื่องใน2</t>
  </si>
  <si>
    <t xml:space="preserve">พิชิต    บุษฎา    (จิ๊บ)    </t>
  </si>
  <si>
    <t>เครื่องใน3</t>
  </si>
  <si>
    <t>สมศักดิ์    หนูทองแดง</t>
  </si>
  <si>
    <t>เครื่องใน4</t>
  </si>
  <si>
    <t>สุวิมล    พงษ์เถื่อน    (มล)</t>
  </si>
  <si>
    <t>เครื่องใน5</t>
  </si>
  <si>
    <t>สุวรรณ    คำมี    (แม็ก)</t>
  </si>
  <si>
    <t>เครื่องใน6</t>
  </si>
  <si>
    <t>นครินทร์    มะลิทอง(ไมค์)</t>
  </si>
  <si>
    <t>ดันหมู1</t>
  </si>
  <si>
    <t>ศราวุฒิ    พะศรี    (ฟลุ๊ค)</t>
  </si>
  <si>
    <t>สุรศักดิ์    สุ่มเงิน    (บรีส)</t>
  </si>
  <si>
    <t>วีรพล    สุ่มเงิน    (ต่อ)</t>
  </si>
  <si>
    <t>อรรถพล    เลิศมะเลา    (ชาย)</t>
  </si>
  <si>
    <t>ดันหมู2</t>
  </si>
  <si>
    <t>มนตรี    ม่วงเจริญ    (หน่อย)</t>
  </si>
  <si>
    <t>อัชฌาณัฐฏ์    พิภูธนัตถ์    (โก้)</t>
  </si>
  <si>
    <t>อนุวัฒน์    สมนวน    (เอฟ)</t>
  </si>
  <si>
    <t>กฤษณะ    หนูสิทธิ์    (บี)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</si>
</sst>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sz val="11"/>
      <color rgb="FF000000"/>
      <name val="Tahoma"/>
      <family val="2"/>
    </font>
    <font>
      <sz val="16"/>
      <color theme="1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0" fontId="5" fillId="2" borderId="0" xfId="0" applyFont="1" applyFill="1"/>
    <xf numFmtId="0" fontId="5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6" fillId="0" borderId="0" xfId="0" applyFont="1"/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10" borderId="1" xfId="0" applyFont="1" applyFill="1" applyBorder="1" applyAlignment="1">
      <alignment horizontal="right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11" borderId="0" xfId="0" applyFill="1"/>
    <xf numFmtId="0" fontId="5" fillId="11" borderId="0" xfId="0" applyFont="1" applyFill="1"/>
    <xf numFmtId="0" fontId="9" fillId="0" borderId="1" xfId="0" applyFont="1" applyBorder="1"/>
    <xf numFmtId="0" fontId="9" fillId="9" borderId="1" xfId="0" applyFont="1" applyFill="1" applyBorder="1"/>
    <xf numFmtId="0" fontId="7" fillId="0" borderId="1" xfId="0" applyFont="1" applyBorder="1"/>
    <xf numFmtId="0" fontId="10" fillId="0" borderId="0" xfId="0" applyFont="1"/>
    <xf numFmtId="20" fontId="0" fillId="0" borderId="0" xfId="0" applyNumberFormat="1" applyAlignment="1">
      <alignment wrapText="1"/>
    </xf>
    <xf numFmtId="0" fontId="5" fillId="12" borderId="0" xfId="0" applyFont="1" applyFill="1"/>
    <xf numFmtId="0" fontId="12" fillId="12" borderId="0" xfId="0" applyFont="1" applyFill="1"/>
    <xf numFmtId="0" fontId="13" fillId="13" borderId="0" xfId="0" applyFont="1" applyFill="1" applyAlignment="1">
      <alignment wrapText="1"/>
    </xf>
    <xf numFmtId="0" fontId="6" fillId="14" borderId="0" xfId="0" applyFont="1" applyFill="1"/>
    <xf numFmtId="0" fontId="0" fillId="14" borderId="0" xfId="0" applyFill="1"/>
    <xf numFmtId="20" fontId="0" fillId="14" borderId="0" xfId="0" applyNumberFormat="1" applyFill="1" applyAlignment="1">
      <alignment wrapText="1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14" fillId="13" borderId="0" xfId="0" applyFont="1" applyFill="1" applyAlignment="1">
      <alignment horizontal="center" wrapText="1"/>
    </xf>
    <xf numFmtId="2" fontId="0" fillId="0" borderId="0" xfId="0" applyNumberFormat="1" applyAlignment="1">
      <alignment wrapText="1"/>
    </xf>
    <xf numFmtId="20" fontId="15" fillId="0" borderId="0" xfId="0" applyNumberFormat="1" applyFont="1"/>
    <xf numFmtId="0" fontId="16" fillId="0" borderId="2" xfId="1" applyFont="1" applyBorder="1" applyAlignment="1">
      <alignment horizontal="center" vertical="center"/>
    </xf>
    <xf numFmtId="0" fontId="16" fillId="14" borderId="2" xfId="1" applyFont="1" applyFill="1" applyBorder="1" applyAlignment="1">
      <alignment horizontal="center" vertical="center"/>
    </xf>
    <xf numFmtId="0" fontId="16" fillId="15" borderId="2" xfId="1" applyFont="1" applyFill="1" applyBorder="1" applyAlignment="1">
      <alignment horizontal="center" vertical="center"/>
    </xf>
    <xf numFmtId="20" fontId="0" fillId="0" borderId="0" xfId="0" applyNumberFormat="1"/>
    <xf numFmtId="0" fontId="6" fillId="16" borderId="0" xfId="0" applyFont="1" applyFill="1"/>
    <xf numFmtId="0" fontId="13" fillId="0" borderId="0" xfId="0" applyFont="1"/>
  </cellXfs>
  <cellStyles count="2">
    <cellStyle name="Normal" xfId="0" builtinId="0"/>
    <cellStyle name="Normal 2" xfId="1" xr:uid="{878D5AF2-6DC9-466F-A5E2-0CAEB3A11FCB}"/>
  </cellStyles>
  <dxfs count="1"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9"/>
  <sheetViews>
    <sheetView tabSelected="1" topLeftCell="B1" zoomScale="85" zoomScaleNormal="85" workbookViewId="0">
      <pane ySplit="2" topLeftCell="A300" activePane="bottomLeft" state="frozen"/>
      <selection pane="bottomLeft" activeCell="AK12" sqref="AK12"/>
    </sheetView>
  </sheetViews>
  <sheetFormatPr defaultColWidth="14.42578125" defaultRowHeight="15" customHeight="1"/>
  <cols>
    <col min="1" max="1" width="7" hidden="1" customWidth="1"/>
    <col min="2" max="2" width="12" customWidth="1"/>
    <col min="3" max="3" width="21.7109375" hidden="1" customWidth="1"/>
    <col min="4" max="4" width="13.85546875" customWidth="1"/>
    <col min="5" max="5" width="13.5703125" customWidth="1"/>
    <col min="6" max="6" width="13.5703125" hidden="1" customWidth="1"/>
    <col min="7" max="8" width="17.5703125" hidden="1" customWidth="1"/>
    <col min="9" max="9" width="18.28515625" hidden="1" customWidth="1"/>
    <col min="10" max="10" width="19.28515625" hidden="1" customWidth="1"/>
    <col min="11" max="11" width="14.42578125" hidden="1" customWidth="1"/>
    <col min="12" max="12" width="24.85546875" hidden="1" customWidth="1"/>
    <col min="13" max="13" width="11.140625" hidden="1" customWidth="1"/>
    <col min="14" max="14" width="15.140625" hidden="1" customWidth="1"/>
    <col min="15" max="15" width="25.5703125" hidden="1" customWidth="1"/>
    <col min="16" max="16" width="18.7109375" hidden="1" customWidth="1"/>
    <col min="17" max="17" width="15.5703125" hidden="1" customWidth="1"/>
    <col min="18" max="18" width="10.140625" customWidth="1"/>
    <col min="19" max="19" width="11.5703125" customWidth="1"/>
    <col min="20" max="20" width="37.28515625" hidden="1" customWidth="1"/>
    <col min="21" max="21" width="14.42578125" hidden="1" customWidth="1"/>
    <col min="22" max="22" width="14.140625" hidden="1" customWidth="1"/>
    <col min="23" max="23" width="25.7109375" hidden="1" customWidth="1"/>
    <col min="24" max="24" width="6.5703125" hidden="1" customWidth="1"/>
    <col min="25" max="25" width="8.5703125" hidden="1" customWidth="1"/>
    <col min="26" max="26" width="14.7109375" hidden="1" customWidth="1"/>
    <col min="27" max="27" width="7.42578125" customWidth="1"/>
    <col min="28" max="28" width="15.28515625" customWidth="1"/>
    <col min="29" max="29" width="7.85546875" style="33" customWidth="1"/>
    <col min="30" max="30" width="4.42578125" customWidth="1"/>
    <col min="31" max="31" width="5.42578125" customWidth="1"/>
    <col min="32" max="32" width="7.42578125" customWidth="1"/>
    <col min="33" max="34" width="6.5703125" customWidth="1"/>
    <col min="35" max="43" width="11.42578125" style="8" customWidth="1"/>
  </cols>
  <sheetData>
    <row r="1" spans="1:43" ht="15" customHeight="1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36" t="s">
        <v>0</v>
      </c>
      <c r="AC1" s="31"/>
      <c r="AD1" s="9"/>
      <c r="AE1" s="9"/>
      <c r="AF1" s="18"/>
      <c r="AG1" s="18"/>
      <c r="AH1" s="18"/>
      <c r="AI1" s="15" t="s">
        <v>1</v>
      </c>
      <c r="AJ1" s="15"/>
      <c r="AK1" s="15"/>
      <c r="AL1" s="16" t="s">
        <v>2</v>
      </c>
      <c r="AM1" s="16"/>
      <c r="AN1" s="16"/>
      <c r="AO1" s="17" t="s">
        <v>3</v>
      </c>
      <c r="AP1" s="17"/>
      <c r="AQ1" s="17"/>
    </row>
    <row r="2" spans="1:43" s="4" customFormat="1" ht="78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25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26</v>
      </c>
      <c r="Y2" s="4" t="s">
        <v>27</v>
      </c>
      <c r="Z2" s="4" t="s">
        <v>28</v>
      </c>
      <c r="AA2" s="26" t="s">
        <v>29</v>
      </c>
      <c r="AB2" s="4" t="s">
        <v>30</v>
      </c>
      <c r="AC2" s="35" t="s">
        <v>31</v>
      </c>
      <c r="AD2" s="4" t="s">
        <v>32</v>
      </c>
      <c r="AF2" s="19" t="s">
        <v>33</v>
      </c>
      <c r="AG2" s="19" t="s">
        <v>34</v>
      </c>
      <c r="AH2" s="19" t="s">
        <v>35</v>
      </c>
      <c r="AI2" s="5" t="s">
        <v>36</v>
      </c>
      <c r="AJ2" s="5" t="s">
        <v>37</v>
      </c>
      <c r="AK2" s="5" t="s">
        <v>38</v>
      </c>
      <c r="AL2" s="6" t="s">
        <v>36</v>
      </c>
      <c r="AM2" s="6" t="s">
        <v>37</v>
      </c>
      <c r="AN2" s="6" t="s">
        <v>38</v>
      </c>
      <c r="AO2" s="7" t="s">
        <v>36</v>
      </c>
      <c r="AP2" s="7" t="s">
        <v>37</v>
      </c>
      <c r="AQ2" s="7" t="s">
        <v>38</v>
      </c>
    </row>
    <row r="3" spans="1:43" ht="14.25" customHeight="1">
      <c r="A3">
        <v>21</v>
      </c>
      <c r="B3" s="1">
        <v>10339980</v>
      </c>
      <c r="C3" s="1" t="s">
        <v>39</v>
      </c>
      <c r="D3" s="1" t="s">
        <v>40</v>
      </c>
      <c r="E3" s="1" t="s">
        <v>41</v>
      </c>
      <c r="F3" s="1" t="str">
        <f>D3&amp;" "&amp;E3</f>
        <v>สุดารัตน์ สิงห์กล้า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48</v>
      </c>
      <c r="O3" s="1" t="s">
        <v>49</v>
      </c>
      <c r="P3" s="1" t="s">
        <v>49</v>
      </c>
      <c r="Q3" s="1">
        <v>10405224</v>
      </c>
      <c r="R3" s="1" t="s">
        <v>50</v>
      </c>
      <c r="S3" s="3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>
        <v>1</v>
      </c>
      <c r="Y3" s="10" t="s">
        <v>56</v>
      </c>
      <c r="Z3" s="10"/>
      <c r="AA3" s="10"/>
      <c r="AB3" s="10" t="s">
        <v>57</v>
      </c>
      <c r="AC3" s="32" t="s">
        <v>58</v>
      </c>
      <c r="AD3" s="10"/>
      <c r="AE3" s="10"/>
      <c r="AF3" s="10" t="s">
        <v>59</v>
      </c>
      <c r="AG3" s="10"/>
      <c r="AH3" s="10"/>
      <c r="AI3" s="24">
        <v>0.33333333333333331</v>
      </c>
      <c r="AJ3" s="24">
        <v>0.70833333333333337</v>
      </c>
      <c r="AK3" s="24">
        <v>0.83333333333333337</v>
      </c>
    </row>
    <row r="4" spans="1:43" ht="14.25" customHeight="1">
      <c r="A4">
        <v>44</v>
      </c>
      <c r="B4" s="1">
        <v>10386416</v>
      </c>
      <c r="C4" s="1" t="s">
        <v>60</v>
      </c>
      <c r="D4" s="1" t="s">
        <v>61</v>
      </c>
      <c r="E4" s="1" t="s">
        <v>62</v>
      </c>
      <c r="F4" s="1" t="str">
        <f>D4&amp;" "&amp;E4</f>
        <v>โชติกา นาคสุทธิ์</v>
      </c>
      <c r="G4" s="1" t="s">
        <v>63</v>
      </c>
      <c r="H4" s="1" t="s">
        <v>64</v>
      </c>
      <c r="I4" s="1">
        <v>10386416</v>
      </c>
      <c r="J4" s="1" t="s">
        <v>45</v>
      </c>
      <c r="K4" s="1" t="s">
        <v>65</v>
      </c>
      <c r="L4" s="1" t="s">
        <v>66</v>
      </c>
      <c r="M4" s="1" t="s">
        <v>48</v>
      </c>
      <c r="N4" s="1" t="s">
        <v>48</v>
      </c>
      <c r="O4" s="1" t="s">
        <v>67</v>
      </c>
      <c r="P4" s="1" t="s">
        <v>67</v>
      </c>
      <c r="Q4" s="1">
        <v>10358486</v>
      </c>
      <c r="R4" s="1" t="s">
        <v>68</v>
      </c>
      <c r="S4" s="3" t="s">
        <v>51</v>
      </c>
      <c r="T4" s="1" t="s">
        <v>52</v>
      </c>
      <c r="U4" s="1" t="s">
        <v>53</v>
      </c>
      <c r="V4" s="1" t="s">
        <v>54</v>
      </c>
      <c r="W4" s="1" t="s">
        <v>55</v>
      </c>
      <c r="X4" s="1">
        <v>1</v>
      </c>
      <c r="Y4" s="10" t="s">
        <v>56</v>
      </c>
      <c r="Z4" s="10"/>
      <c r="AA4" s="10"/>
      <c r="AB4" s="10" t="s">
        <v>57</v>
      </c>
      <c r="AC4" s="32" t="s">
        <v>69</v>
      </c>
      <c r="AD4" s="10"/>
      <c r="AE4" s="10"/>
      <c r="AF4" s="10" t="s">
        <v>59</v>
      </c>
      <c r="AG4" s="10"/>
      <c r="AH4" s="10"/>
      <c r="AI4" s="24">
        <v>0.33333333333333331</v>
      </c>
      <c r="AJ4" s="24">
        <v>0.70833333333333337</v>
      </c>
      <c r="AK4" s="24">
        <v>0.83333333333333337</v>
      </c>
    </row>
    <row r="5" spans="1:43" ht="14.25" customHeight="1">
      <c r="A5">
        <v>50</v>
      </c>
      <c r="B5" s="1">
        <v>10393693</v>
      </c>
      <c r="C5" s="1" t="s">
        <v>39</v>
      </c>
      <c r="D5" s="1" t="s">
        <v>70</v>
      </c>
      <c r="E5" s="1" t="s">
        <v>71</v>
      </c>
      <c r="F5" s="1" t="str">
        <f>D5&amp;" "&amp;E5</f>
        <v>ธมนพัชร์ วงศ์สุนันท์</v>
      </c>
      <c r="G5" s="1" t="s">
        <v>72</v>
      </c>
      <c r="H5" s="1" t="s">
        <v>73</v>
      </c>
      <c r="I5" s="1" t="s">
        <v>74</v>
      </c>
      <c r="J5" s="1" t="s">
        <v>45</v>
      </c>
      <c r="K5" s="2">
        <v>43832</v>
      </c>
      <c r="L5" s="1" t="s">
        <v>47</v>
      </c>
      <c r="M5" s="1" t="s">
        <v>48</v>
      </c>
      <c r="N5" s="1" t="s">
        <v>48</v>
      </c>
      <c r="O5" s="1" t="s">
        <v>75</v>
      </c>
      <c r="P5" s="1" t="s">
        <v>75</v>
      </c>
      <c r="Q5" s="1">
        <v>10405224</v>
      </c>
      <c r="R5" s="1" t="s">
        <v>50</v>
      </c>
      <c r="S5" s="3" t="s">
        <v>51</v>
      </c>
      <c r="T5" s="1" t="s">
        <v>52</v>
      </c>
      <c r="U5" s="1" t="s">
        <v>53</v>
      </c>
      <c r="V5" s="1" t="s">
        <v>54</v>
      </c>
      <c r="W5" s="1" t="s">
        <v>55</v>
      </c>
      <c r="X5" s="1">
        <v>1</v>
      </c>
      <c r="Y5" s="10" t="s">
        <v>56</v>
      </c>
      <c r="Z5" s="10"/>
      <c r="AA5" s="10"/>
      <c r="AB5" s="10" t="s">
        <v>57</v>
      </c>
      <c r="AC5" s="32" t="s">
        <v>76</v>
      </c>
      <c r="AD5" s="10"/>
      <c r="AE5" s="10"/>
      <c r="AF5" s="10" t="s">
        <v>77</v>
      </c>
      <c r="AG5" s="10"/>
      <c r="AH5" s="10"/>
      <c r="AL5" s="24">
        <v>0.83333333333333337</v>
      </c>
      <c r="AM5" s="24">
        <v>0.20833333333333334</v>
      </c>
      <c r="AN5" s="24">
        <v>0.33333333333333331</v>
      </c>
    </row>
    <row r="6" spans="1:43" ht="14.25" customHeight="1">
      <c r="A6">
        <v>141</v>
      </c>
      <c r="B6" s="1">
        <v>10558877</v>
      </c>
      <c r="C6" s="1" t="s">
        <v>39</v>
      </c>
      <c r="D6" s="1" t="s">
        <v>78</v>
      </c>
      <c r="E6" s="1" t="s">
        <v>79</v>
      </c>
      <c r="F6" s="1" t="str">
        <f>D6&amp;" "&amp;E6</f>
        <v>ณัฐพร ทัพศาสตร์</v>
      </c>
      <c r="G6" s="1" t="s">
        <v>80</v>
      </c>
      <c r="H6" s="1" t="s">
        <v>81</v>
      </c>
      <c r="I6" s="1">
        <v>10558877</v>
      </c>
      <c r="J6" s="1" t="s">
        <v>45</v>
      </c>
      <c r="K6" s="2">
        <v>44932</v>
      </c>
      <c r="L6" s="1" t="s">
        <v>66</v>
      </c>
      <c r="M6" s="1" t="s">
        <v>48</v>
      </c>
      <c r="N6" s="1" t="s">
        <v>48</v>
      </c>
      <c r="O6" s="1" t="s">
        <v>82</v>
      </c>
      <c r="P6" s="1" t="s">
        <v>82</v>
      </c>
      <c r="Q6" s="1">
        <v>10405192</v>
      </c>
      <c r="R6" s="1" t="s">
        <v>83</v>
      </c>
      <c r="S6" s="3" t="s">
        <v>51</v>
      </c>
      <c r="T6" s="1" t="s">
        <v>52</v>
      </c>
      <c r="U6" s="1" t="s">
        <v>53</v>
      </c>
      <c r="V6" s="1" t="s">
        <v>54</v>
      </c>
      <c r="W6" s="1" t="s">
        <v>55</v>
      </c>
      <c r="X6" s="1">
        <v>1</v>
      </c>
      <c r="Y6" s="10" t="s">
        <v>56</v>
      </c>
      <c r="Z6" s="10"/>
      <c r="AA6" s="10"/>
      <c r="AB6" s="10" t="s">
        <v>57</v>
      </c>
      <c r="AC6" s="32" t="s">
        <v>84</v>
      </c>
      <c r="AD6" s="10"/>
      <c r="AE6" s="10"/>
      <c r="AF6" s="10" t="s">
        <v>77</v>
      </c>
      <c r="AG6" s="10"/>
      <c r="AH6" s="10"/>
      <c r="AL6" s="24">
        <v>0.83333333333333337</v>
      </c>
      <c r="AM6" s="24">
        <v>0.20833333333333334</v>
      </c>
      <c r="AN6" s="24">
        <v>0.33333333333333331</v>
      </c>
    </row>
    <row r="7" spans="1:43" ht="14.25" customHeight="1">
      <c r="A7">
        <v>233</v>
      </c>
      <c r="B7" s="1">
        <v>10653656</v>
      </c>
      <c r="C7" s="1" t="s">
        <v>39</v>
      </c>
      <c r="D7" s="1" t="s">
        <v>85</v>
      </c>
      <c r="E7" s="1" t="s">
        <v>86</v>
      </c>
      <c r="F7" s="1" t="str">
        <f>D7&amp;" "&amp;E7</f>
        <v>สรีรัญ วันศิริ</v>
      </c>
      <c r="G7" s="1" t="s">
        <v>87</v>
      </c>
      <c r="H7" s="1" t="s">
        <v>88</v>
      </c>
      <c r="I7" s="1">
        <v>10653656</v>
      </c>
      <c r="J7" s="1" t="s">
        <v>45</v>
      </c>
      <c r="K7" s="2">
        <v>45664</v>
      </c>
      <c r="L7" s="1" t="s">
        <v>66</v>
      </c>
      <c r="M7" s="1" t="s">
        <v>48</v>
      </c>
      <c r="N7" s="1" t="s">
        <v>48</v>
      </c>
      <c r="O7" s="1" t="s">
        <v>89</v>
      </c>
      <c r="P7" s="1" t="s">
        <v>89</v>
      </c>
      <c r="Q7" s="1">
        <v>10358486</v>
      </c>
      <c r="R7" s="1" t="s">
        <v>68</v>
      </c>
      <c r="S7" s="3" t="s">
        <v>51</v>
      </c>
      <c r="T7" s="1" t="s">
        <v>52</v>
      </c>
      <c r="U7" s="1" t="s">
        <v>53</v>
      </c>
      <c r="V7" s="1" t="s">
        <v>54</v>
      </c>
      <c r="W7" s="1" t="s">
        <v>55</v>
      </c>
      <c r="X7" s="1">
        <v>1</v>
      </c>
      <c r="Y7" s="10" t="s">
        <v>56</v>
      </c>
      <c r="Z7" s="10"/>
      <c r="AA7" s="10"/>
      <c r="AB7" s="10" t="s">
        <v>90</v>
      </c>
      <c r="AC7" s="32" t="s">
        <v>91</v>
      </c>
      <c r="AD7" s="10"/>
      <c r="AE7" s="10"/>
      <c r="AF7" s="10" t="s">
        <v>59</v>
      </c>
      <c r="AG7" s="10"/>
      <c r="AH7" s="10"/>
      <c r="AI7" s="38">
        <v>0.33333333333333331</v>
      </c>
      <c r="AJ7" s="38">
        <v>0.70833333333333337</v>
      </c>
      <c r="AK7" s="24">
        <v>0.83333333333333337</v>
      </c>
    </row>
    <row r="8" spans="1:43" ht="14.25" customHeight="1">
      <c r="A8">
        <v>356</v>
      </c>
      <c r="B8" s="1">
        <v>10680258</v>
      </c>
      <c r="C8" s="1" t="s">
        <v>92</v>
      </c>
      <c r="D8" s="1" t="s">
        <v>93</v>
      </c>
      <c r="E8" s="1" t="s">
        <v>94</v>
      </c>
      <c r="F8" s="1" t="str">
        <f>D8&amp;" "&amp;E8</f>
        <v>วัฒธนศิล บุญสา</v>
      </c>
      <c r="G8" s="1" t="s">
        <v>95</v>
      </c>
      <c r="H8" s="1" t="s">
        <v>96</v>
      </c>
      <c r="I8" s="1">
        <v>10680258</v>
      </c>
      <c r="J8" s="1" t="s">
        <v>45</v>
      </c>
      <c r="K8" s="1" t="s">
        <v>97</v>
      </c>
      <c r="L8" s="1" t="s">
        <v>66</v>
      </c>
      <c r="M8" s="1" t="s">
        <v>48</v>
      </c>
      <c r="N8" s="1" t="s">
        <v>98</v>
      </c>
      <c r="O8" s="1" t="s">
        <v>99</v>
      </c>
      <c r="P8" s="1" t="s">
        <v>100</v>
      </c>
      <c r="Q8" s="1">
        <v>10358473</v>
      </c>
      <c r="R8" s="1" t="s">
        <v>101</v>
      </c>
      <c r="S8" s="3" t="s">
        <v>51</v>
      </c>
      <c r="T8" s="1" t="s">
        <v>52</v>
      </c>
      <c r="U8" s="1" t="s">
        <v>53</v>
      </c>
      <c r="V8" s="1" t="s">
        <v>54</v>
      </c>
      <c r="W8" s="1" t="s">
        <v>55</v>
      </c>
      <c r="X8" s="1">
        <v>1</v>
      </c>
      <c r="Y8" s="10" t="s">
        <v>56</v>
      </c>
      <c r="Z8" s="10"/>
      <c r="AA8" s="10"/>
      <c r="AB8" s="10" t="s">
        <v>90</v>
      </c>
      <c r="AC8" s="32" t="s">
        <v>102</v>
      </c>
      <c r="AD8" s="10"/>
      <c r="AE8" s="10"/>
      <c r="AF8" s="10" t="s">
        <v>59</v>
      </c>
      <c r="AG8" s="10"/>
      <c r="AH8" s="10"/>
      <c r="AI8" s="38">
        <v>0.33333333333333331</v>
      </c>
      <c r="AJ8" s="38">
        <v>0.70833333333333337</v>
      </c>
      <c r="AK8" s="24">
        <v>0.83333333333333337</v>
      </c>
    </row>
    <row r="9" spans="1:43" ht="14.25" customHeight="1">
      <c r="A9">
        <v>258</v>
      </c>
      <c r="B9" s="1">
        <v>10658400</v>
      </c>
      <c r="C9" s="1" t="s">
        <v>92</v>
      </c>
      <c r="D9" s="1" t="s">
        <v>103</v>
      </c>
      <c r="E9" s="1" t="s">
        <v>104</v>
      </c>
      <c r="F9" s="1" t="str">
        <f>D9&amp;" "&amp;E9</f>
        <v>วรภพ ชูเกาะ</v>
      </c>
      <c r="G9" s="1" t="s">
        <v>105</v>
      </c>
      <c r="H9" s="1" t="s">
        <v>106</v>
      </c>
      <c r="I9" s="1">
        <v>10658400</v>
      </c>
      <c r="J9" s="1" t="s">
        <v>45</v>
      </c>
      <c r="K9" s="2">
        <v>45665</v>
      </c>
      <c r="L9" s="1" t="s">
        <v>66</v>
      </c>
      <c r="M9" s="1" t="s">
        <v>48</v>
      </c>
      <c r="N9" s="1" t="s">
        <v>48</v>
      </c>
      <c r="O9" s="1" t="s">
        <v>107</v>
      </c>
      <c r="P9" s="1" t="s">
        <v>107</v>
      </c>
      <c r="Q9" s="1">
        <v>10358473</v>
      </c>
      <c r="R9" s="1" t="s">
        <v>101</v>
      </c>
      <c r="S9" s="3" t="s">
        <v>51</v>
      </c>
      <c r="T9" s="1" t="s">
        <v>52</v>
      </c>
      <c r="U9" s="1" t="s">
        <v>53</v>
      </c>
      <c r="V9" s="1" t="s">
        <v>54</v>
      </c>
      <c r="W9" s="1" t="s">
        <v>55</v>
      </c>
      <c r="X9" s="1">
        <v>1</v>
      </c>
      <c r="Y9" s="10" t="s">
        <v>56</v>
      </c>
      <c r="Z9" s="10"/>
      <c r="AA9" s="10"/>
      <c r="AB9" s="10" t="s">
        <v>90</v>
      </c>
      <c r="AC9" s="32" t="s">
        <v>69</v>
      </c>
      <c r="AD9" s="10"/>
      <c r="AE9" s="10"/>
      <c r="AF9" s="10" t="s">
        <v>59</v>
      </c>
      <c r="AG9" s="10"/>
      <c r="AH9" s="10"/>
      <c r="AI9" s="38">
        <v>0.33333333333333331</v>
      </c>
      <c r="AJ9" s="38">
        <v>0.70833333333333337</v>
      </c>
      <c r="AK9" s="24">
        <v>0.83333333333333337</v>
      </c>
    </row>
    <row r="10" spans="1:43" ht="14.25" customHeight="1">
      <c r="A10">
        <v>104</v>
      </c>
      <c r="B10" s="1">
        <v>10510959</v>
      </c>
      <c r="C10" s="1" t="s">
        <v>92</v>
      </c>
      <c r="D10" s="1" t="s">
        <v>108</v>
      </c>
      <c r="E10" s="1" t="s">
        <v>79</v>
      </c>
      <c r="F10" s="1" t="str">
        <f>D10&amp;" "&amp;E10</f>
        <v>ธันธร ทัพศาสตร์</v>
      </c>
      <c r="G10" s="1" t="s">
        <v>109</v>
      </c>
      <c r="H10" s="1" t="s">
        <v>110</v>
      </c>
      <c r="I10" s="1">
        <v>10510959</v>
      </c>
      <c r="J10" s="1" t="s">
        <v>45</v>
      </c>
      <c r="K10" s="2">
        <v>44898</v>
      </c>
      <c r="L10" s="1" t="s">
        <v>66</v>
      </c>
      <c r="M10" s="1" t="s">
        <v>48</v>
      </c>
      <c r="N10" s="1" t="s">
        <v>48</v>
      </c>
      <c r="O10" s="2">
        <v>44811</v>
      </c>
      <c r="P10" s="2">
        <v>44811</v>
      </c>
      <c r="Q10" s="1">
        <v>10358473</v>
      </c>
      <c r="R10" s="1" t="s">
        <v>101</v>
      </c>
      <c r="S10" s="3" t="s">
        <v>51</v>
      </c>
      <c r="T10" s="1" t="s">
        <v>52</v>
      </c>
      <c r="U10" s="1" t="s">
        <v>53</v>
      </c>
      <c r="V10" s="1" t="s">
        <v>54</v>
      </c>
      <c r="W10" s="1" t="s">
        <v>55</v>
      </c>
      <c r="X10" s="1">
        <v>1</v>
      </c>
      <c r="Y10" s="10" t="s">
        <v>56</v>
      </c>
      <c r="Z10" s="10"/>
      <c r="AA10" s="10"/>
      <c r="AB10" s="10" t="s">
        <v>90</v>
      </c>
      <c r="AC10" s="32" t="s">
        <v>84</v>
      </c>
      <c r="AD10" s="10"/>
      <c r="AE10" s="10"/>
      <c r="AF10" s="10" t="s">
        <v>59</v>
      </c>
      <c r="AG10" s="10"/>
      <c r="AH10" s="10"/>
      <c r="AI10" s="38">
        <v>0.33333333333333331</v>
      </c>
      <c r="AJ10" s="38">
        <v>0.70833333333333337</v>
      </c>
      <c r="AK10" s="24">
        <v>0.83333333333333337</v>
      </c>
    </row>
    <row r="11" spans="1:43" ht="14.25" customHeight="1">
      <c r="A11">
        <v>227</v>
      </c>
      <c r="B11" s="1">
        <v>10652118</v>
      </c>
      <c r="C11" s="1" t="s">
        <v>92</v>
      </c>
      <c r="D11" s="1" t="s">
        <v>111</v>
      </c>
      <c r="E11" s="1" t="s">
        <v>112</v>
      </c>
      <c r="F11" s="1" t="str">
        <f>D11&amp;" "&amp;E11</f>
        <v>คณัสนันท์ ธรรมโชติ</v>
      </c>
      <c r="G11" s="1" t="s">
        <v>113</v>
      </c>
      <c r="H11" s="1" t="s">
        <v>114</v>
      </c>
      <c r="I11" s="1">
        <v>10652118</v>
      </c>
      <c r="J11" s="1" t="s">
        <v>45</v>
      </c>
      <c r="K11" s="1" t="s">
        <v>115</v>
      </c>
      <c r="L11" s="1" t="s">
        <v>66</v>
      </c>
      <c r="M11" s="1" t="s">
        <v>48</v>
      </c>
      <c r="N11" s="1" t="s">
        <v>48</v>
      </c>
      <c r="O11" s="1" t="s">
        <v>116</v>
      </c>
      <c r="P11" s="1" t="s">
        <v>116</v>
      </c>
      <c r="Q11" s="1">
        <v>10358473</v>
      </c>
      <c r="R11" s="1" t="s">
        <v>101</v>
      </c>
      <c r="S11" s="3" t="s">
        <v>51</v>
      </c>
      <c r="T11" s="1" t="s">
        <v>52</v>
      </c>
      <c r="U11" s="1" t="s">
        <v>53</v>
      </c>
      <c r="V11" s="1" t="s">
        <v>54</v>
      </c>
      <c r="W11" s="1" t="s">
        <v>55</v>
      </c>
      <c r="X11" s="1">
        <v>1</v>
      </c>
      <c r="Y11" s="10" t="s">
        <v>56</v>
      </c>
      <c r="Z11" s="10"/>
      <c r="AA11" s="10"/>
      <c r="AB11" s="10" t="s">
        <v>90</v>
      </c>
      <c r="AC11" s="32" t="s">
        <v>58</v>
      </c>
      <c r="AD11" s="10"/>
      <c r="AE11" s="10"/>
      <c r="AF11" s="10" t="s">
        <v>59</v>
      </c>
      <c r="AG11" s="10"/>
      <c r="AH11" s="10"/>
      <c r="AI11" s="38">
        <v>0.33333333333333331</v>
      </c>
      <c r="AJ11" s="38">
        <v>0.70833333333333337</v>
      </c>
      <c r="AK11" s="24">
        <v>0.83333333333333337</v>
      </c>
    </row>
    <row r="12" spans="1:43" ht="14.25" customHeight="1">
      <c r="A12">
        <v>67</v>
      </c>
      <c r="B12" s="1">
        <v>10415060</v>
      </c>
      <c r="C12" s="1" t="s">
        <v>60</v>
      </c>
      <c r="D12" s="1" t="s">
        <v>117</v>
      </c>
      <c r="E12" s="1" t="s">
        <v>118</v>
      </c>
      <c r="F12" s="1" t="str">
        <f>D12&amp;" "&amp;E12</f>
        <v>สุวิมล พงษ์เถื่อน</v>
      </c>
      <c r="G12" s="1" t="s">
        <v>119</v>
      </c>
      <c r="H12" s="1" t="s">
        <v>120</v>
      </c>
      <c r="I12" s="1">
        <v>10415060</v>
      </c>
      <c r="J12" s="1" t="s">
        <v>45</v>
      </c>
      <c r="K12" s="2">
        <v>43994</v>
      </c>
      <c r="L12" s="1" t="s">
        <v>66</v>
      </c>
      <c r="M12" s="1" t="s">
        <v>48</v>
      </c>
      <c r="N12" s="1" t="s">
        <v>48</v>
      </c>
      <c r="O12" s="2">
        <v>44290</v>
      </c>
      <c r="P12" s="2">
        <v>44290</v>
      </c>
      <c r="Q12" s="1">
        <v>10405186</v>
      </c>
      <c r="R12" s="1" t="s">
        <v>121</v>
      </c>
      <c r="S12" s="3" t="s">
        <v>51</v>
      </c>
      <c r="T12" s="1" t="s">
        <v>52</v>
      </c>
      <c r="U12" s="1" t="s">
        <v>53</v>
      </c>
      <c r="V12" s="1" t="s">
        <v>54</v>
      </c>
      <c r="W12" s="1" t="s">
        <v>55</v>
      </c>
      <c r="X12" s="1">
        <v>1</v>
      </c>
      <c r="Y12" s="10" t="s">
        <v>56</v>
      </c>
      <c r="Z12" s="10"/>
      <c r="AA12" s="10"/>
      <c r="AB12" s="10" t="s">
        <v>90</v>
      </c>
      <c r="AC12" s="32" t="s">
        <v>84</v>
      </c>
      <c r="AD12" s="10"/>
      <c r="AE12" s="10"/>
      <c r="AF12" s="10" t="s">
        <v>77</v>
      </c>
      <c r="AG12" s="10"/>
      <c r="AH12" s="10"/>
      <c r="AL12" s="38">
        <v>0.79166666666666663</v>
      </c>
      <c r="AM12" s="38">
        <v>0.16666666666666666</v>
      </c>
      <c r="AN12" s="24">
        <v>0.29166666666666669</v>
      </c>
    </row>
    <row r="13" spans="1:43" ht="14.25" customHeight="1">
      <c r="A13">
        <v>116</v>
      </c>
      <c r="B13" s="1">
        <v>10532723</v>
      </c>
      <c r="C13" s="1" t="s">
        <v>92</v>
      </c>
      <c r="D13" s="1" t="s">
        <v>122</v>
      </c>
      <c r="E13" s="1" t="s">
        <v>123</v>
      </c>
      <c r="F13" s="1" t="str">
        <f>D13&amp;" "&amp;E13</f>
        <v>สุวรรณ์ คำมี</v>
      </c>
      <c r="G13" s="1" t="s">
        <v>124</v>
      </c>
      <c r="H13" s="1" t="s">
        <v>125</v>
      </c>
      <c r="I13" s="1">
        <v>10532723</v>
      </c>
      <c r="J13" s="1" t="s">
        <v>45</v>
      </c>
      <c r="K13" s="2">
        <v>44603</v>
      </c>
      <c r="L13" s="1" t="s">
        <v>66</v>
      </c>
      <c r="M13" s="1" t="s">
        <v>48</v>
      </c>
      <c r="N13" s="1" t="s">
        <v>48</v>
      </c>
      <c r="O13" s="2">
        <v>44929</v>
      </c>
      <c r="P13" s="2">
        <v>44929</v>
      </c>
      <c r="Q13" s="1">
        <v>10358473</v>
      </c>
      <c r="R13" s="1" t="s">
        <v>101</v>
      </c>
      <c r="S13" s="3" t="s">
        <v>51</v>
      </c>
      <c r="T13" s="1" t="s">
        <v>52</v>
      </c>
      <c r="U13" s="1" t="s">
        <v>53</v>
      </c>
      <c r="V13" s="1" t="s">
        <v>54</v>
      </c>
      <c r="W13" s="1" t="s">
        <v>55</v>
      </c>
      <c r="X13" s="1">
        <v>1</v>
      </c>
      <c r="Y13" s="10" t="s">
        <v>56</v>
      </c>
      <c r="Z13" s="10"/>
      <c r="AA13" s="10"/>
      <c r="AB13" s="10" t="s">
        <v>90</v>
      </c>
      <c r="AC13" s="32" t="s">
        <v>69</v>
      </c>
      <c r="AD13" s="10"/>
      <c r="AE13" s="10"/>
      <c r="AF13" s="10" t="s">
        <v>77</v>
      </c>
      <c r="AG13" s="10"/>
      <c r="AH13" s="10"/>
      <c r="AL13" s="38">
        <v>0.79166666666666663</v>
      </c>
      <c r="AM13" s="38">
        <v>0.16666666666666666</v>
      </c>
      <c r="AN13" s="24">
        <v>0.29166666666666669</v>
      </c>
    </row>
    <row r="14" spans="1:43" ht="14.25" customHeight="1">
      <c r="A14">
        <v>140</v>
      </c>
      <c r="B14" s="1">
        <v>10556230</v>
      </c>
      <c r="C14" s="1" t="s">
        <v>92</v>
      </c>
      <c r="D14" s="1" t="s">
        <v>126</v>
      </c>
      <c r="E14" s="1" t="s">
        <v>127</v>
      </c>
      <c r="F14" s="1" t="str">
        <f>D14&amp;" "&amp;E14</f>
        <v>สมศักดิ์ หนูทองแดง</v>
      </c>
      <c r="G14" s="1" t="s">
        <v>128</v>
      </c>
      <c r="H14" s="1" t="s">
        <v>129</v>
      </c>
      <c r="I14" s="1">
        <v>10556230</v>
      </c>
      <c r="J14" s="1" t="s">
        <v>45</v>
      </c>
      <c r="K14" s="1" t="s">
        <v>130</v>
      </c>
      <c r="L14" s="1" t="s">
        <v>66</v>
      </c>
      <c r="M14" s="1" t="s">
        <v>48</v>
      </c>
      <c r="N14" s="1" t="s">
        <v>48</v>
      </c>
      <c r="O14" s="2">
        <v>45269</v>
      </c>
      <c r="P14" s="2">
        <v>45269</v>
      </c>
      <c r="Q14" s="1">
        <v>10358473</v>
      </c>
      <c r="R14" s="1" t="s">
        <v>101</v>
      </c>
      <c r="S14" s="3" t="s">
        <v>51</v>
      </c>
      <c r="T14" s="1" t="s">
        <v>52</v>
      </c>
      <c r="U14" s="1" t="s">
        <v>53</v>
      </c>
      <c r="V14" s="1" t="s">
        <v>54</v>
      </c>
      <c r="W14" s="1" t="s">
        <v>55</v>
      </c>
      <c r="X14" s="1">
        <v>1</v>
      </c>
      <c r="Y14" s="10" t="s">
        <v>56</v>
      </c>
      <c r="Z14" s="10"/>
      <c r="AA14" s="10"/>
      <c r="AB14" s="10" t="s">
        <v>90</v>
      </c>
      <c r="AC14" s="32" t="s">
        <v>58</v>
      </c>
      <c r="AD14" s="10"/>
      <c r="AE14" s="10"/>
      <c r="AF14" s="10" t="s">
        <v>77</v>
      </c>
      <c r="AG14" s="10"/>
      <c r="AH14" s="10"/>
      <c r="AL14" s="38">
        <v>0.79166666666666663</v>
      </c>
      <c r="AM14" s="38">
        <v>0.16666666666666666</v>
      </c>
      <c r="AN14" s="24">
        <v>0.29166666666666669</v>
      </c>
    </row>
    <row r="15" spans="1:43" ht="14.25" customHeight="1">
      <c r="A15">
        <v>38</v>
      </c>
      <c r="B15" s="1">
        <v>10366440</v>
      </c>
      <c r="C15" s="1" t="s">
        <v>92</v>
      </c>
      <c r="D15" s="1" t="s">
        <v>131</v>
      </c>
      <c r="E15" s="1" t="s">
        <v>132</v>
      </c>
      <c r="F15" s="1" t="str">
        <f>D15&amp;" "&amp;E15</f>
        <v>พิชิต บุษฎา</v>
      </c>
      <c r="G15" s="1" t="s">
        <v>133</v>
      </c>
      <c r="H15" s="1" t="s">
        <v>134</v>
      </c>
      <c r="I15" s="1" t="s">
        <v>135</v>
      </c>
      <c r="J15" s="1" t="s">
        <v>45</v>
      </c>
      <c r="K15" s="2">
        <v>43469</v>
      </c>
      <c r="L15" s="1" t="s">
        <v>47</v>
      </c>
      <c r="M15" s="1" t="s">
        <v>48</v>
      </c>
      <c r="N15" s="1" t="s">
        <v>48</v>
      </c>
      <c r="O15" s="1" t="s">
        <v>136</v>
      </c>
      <c r="P15" s="1" t="s">
        <v>136</v>
      </c>
      <c r="Q15" s="1">
        <v>10405222</v>
      </c>
      <c r="R15" s="1" t="s">
        <v>137</v>
      </c>
      <c r="S15" s="3" t="s">
        <v>51</v>
      </c>
      <c r="T15" s="1" t="s">
        <v>52</v>
      </c>
      <c r="U15" s="1" t="s">
        <v>53</v>
      </c>
      <c r="V15" s="1" t="s">
        <v>54</v>
      </c>
      <c r="W15" s="1" t="s">
        <v>55</v>
      </c>
      <c r="X15" s="1">
        <v>1</v>
      </c>
      <c r="Y15" s="10" t="s">
        <v>56</v>
      </c>
      <c r="Z15" s="10"/>
      <c r="AA15" s="10"/>
      <c r="AB15" s="10" t="s">
        <v>90</v>
      </c>
      <c r="AC15" s="32" t="s">
        <v>138</v>
      </c>
      <c r="AD15" s="10"/>
      <c r="AE15" s="10"/>
      <c r="AF15" s="10" t="s">
        <v>77</v>
      </c>
      <c r="AG15" s="10"/>
      <c r="AH15" s="10"/>
      <c r="AL15" s="38">
        <v>0.79166666666666663</v>
      </c>
      <c r="AM15" s="38">
        <v>0.16666666666666666</v>
      </c>
      <c r="AN15" s="24">
        <v>0.29166666666666669</v>
      </c>
    </row>
    <row r="16" spans="1:43" ht="14.25" customHeight="1">
      <c r="A16">
        <v>255</v>
      </c>
      <c r="B16" s="1">
        <v>10658249</v>
      </c>
      <c r="C16" s="1" t="s">
        <v>92</v>
      </c>
      <c r="D16" s="1" t="s">
        <v>139</v>
      </c>
      <c r="E16" s="1" t="s">
        <v>140</v>
      </c>
      <c r="F16" s="1" t="str">
        <f>D16&amp;" "&amp;E16</f>
        <v>นครินทร์ มะลิทอง</v>
      </c>
      <c r="G16" s="1" t="s">
        <v>141</v>
      </c>
      <c r="H16" s="1" t="s">
        <v>142</v>
      </c>
      <c r="I16" s="1">
        <v>10658249</v>
      </c>
      <c r="J16" s="1" t="s">
        <v>45</v>
      </c>
      <c r="K16" s="2">
        <v>45665</v>
      </c>
      <c r="L16" s="1" t="s">
        <v>66</v>
      </c>
      <c r="M16" s="1" t="s">
        <v>48</v>
      </c>
      <c r="N16" s="1" t="s">
        <v>48</v>
      </c>
      <c r="O16" s="1" t="s">
        <v>107</v>
      </c>
      <c r="P16" s="1" t="s">
        <v>107</v>
      </c>
      <c r="Q16" s="1">
        <v>10405186</v>
      </c>
      <c r="R16" s="1" t="s">
        <v>121</v>
      </c>
      <c r="S16" s="3" t="s">
        <v>51</v>
      </c>
      <c r="T16" s="1" t="s">
        <v>52</v>
      </c>
      <c r="U16" s="1" t="s">
        <v>53</v>
      </c>
      <c r="V16" s="1" t="s">
        <v>54</v>
      </c>
      <c r="W16" s="1" t="s">
        <v>55</v>
      </c>
      <c r="X16" s="1">
        <v>1</v>
      </c>
      <c r="Y16" s="10" t="s">
        <v>56</v>
      </c>
      <c r="Z16" s="10"/>
      <c r="AA16" s="10"/>
      <c r="AB16" s="10" t="s">
        <v>90</v>
      </c>
      <c r="AC16" s="32" t="s">
        <v>91</v>
      </c>
      <c r="AD16" s="10"/>
      <c r="AE16" s="10"/>
      <c r="AF16" s="10" t="s">
        <v>77</v>
      </c>
      <c r="AG16" s="10"/>
      <c r="AH16" s="10"/>
      <c r="AL16" s="38">
        <v>0.79166666666666663</v>
      </c>
      <c r="AM16" s="38">
        <v>0.16666666666666666</v>
      </c>
      <c r="AN16" s="24">
        <v>0.29166666666666669</v>
      </c>
    </row>
    <row r="17" spans="1:40" ht="14.25" customHeight="1">
      <c r="B17" t="s">
        <v>143</v>
      </c>
      <c r="D17" t="s">
        <v>144</v>
      </c>
      <c r="E17" t="s">
        <v>145</v>
      </c>
      <c r="S17" s="3" t="s">
        <v>51</v>
      </c>
      <c r="AA17" s="10"/>
      <c r="AB17" s="10" t="s">
        <v>146</v>
      </c>
      <c r="AC17" s="33" t="s">
        <v>91</v>
      </c>
      <c r="AF17" s="10" t="s">
        <v>59</v>
      </c>
      <c r="AI17" s="38">
        <v>0.33333333333333331</v>
      </c>
      <c r="AJ17" s="38">
        <v>0.70833333333333337</v>
      </c>
      <c r="AK17" s="24">
        <v>0.83333333333333337</v>
      </c>
    </row>
    <row r="18" spans="1:40" ht="14.25" customHeight="1">
      <c r="A18">
        <v>353</v>
      </c>
      <c r="B18" s="1">
        <v>10680226</v>
      </c>
      <c r="C18" s="1" t="s">
        <v>92</v>
      </c>
      <c r="D18" s="1" t="s">
        <v>147</v>
      </c>
      <c r="E18" s="1" t="s">
        <v>148</v>
      </c>
      <c r="F18" s="1" t="str">
        <f>D18&amp;" "&amp;E18</f>
        <v>อดิศักดิ์ ผาสุขธรรม</v>
      </c>
      <c r="G18" s="1" t="s">
        <v>149</v>
      </c>
      <c r="H18" s="1" t="s">
        <v>150</v>
      </c>
      <c r="I18" s="1">
        <v>10680226</v>
      </c>
      <c r="J18" s="1" t="s">
        <v>45</v>
      </c>
      <c r="K18" s="1" t="s">
        <v>97</v>
      </c>
      <c r="L18" s="1" t="s">
        <v>66</v>
      </c>
      <c r="M18" s="1" t="s">
        <v>48</v>
      </c>
      <c r="N18" s="1" t="s">
        <v>98</v>
      </c>
      <c r="O18" s="1" t="s">
        <v>99</v>
      </c>
      <c r="P18" s="1" t="s">
        <v>100</v>
      </c>
      <c r="Q18" s="1">
        <v>10358476</v>
      </c>
      <c r="R18" s="1" t="s">
        <v>151</v>
      </c>
      <c r="S18" s="3" t="s">
        <v>51</v>
      </c>
      <c r="T18" s="1" t="s">
        <v>52</v>
      </c>
      <c r="U18" s="1" t="s">
        <v>53</v>
      </c>
      <c r="V18" s="1" t="s">
        <v>54</v>
      </c>
      <c r="W18" s="1" t="s">
        <v>55</v>
      </c>
      <c r="X18" s="1">
        <v>1</v>
      </c>
      <c r="Y18" s="10" t="s">
        <v>56</v>
      </c>
      <c r="Z18" s="10"/>
      <c r="AA18" s="10"/>
      <c r="AB18" s="10" t="s">
        <v>146</v>
      </c>
      <c r="AC18" s="32" t="s">
        <v>91</v>
      </c>
      <c r="AD18" s="10"/>
      <c r="AE18" s="10"/>
      <c r="AF18" s="10" t="s">
        <v>59</v>
      </c>
      <c r="AG18" s="10"/>
      <c r="AH18" s="10"/>
      <c r="AI18" s="38">
        <v>0.33333333333333331</v>
      </c>
      <c r="AJ18" s="38">
        <v>0.70833333333333337</v>
      </c>
      <c r="AK18" s="24">
        <v>0.83333333333333337</v>
      </c>
    </row>
    <row r="19" spans="1:40" ht="14.25" customHeight="1">
      <c r="B19">
        <v>10596679</v>
      </c>
      <c r="D19" t="s">
        <v>152</v>
      </c>
      <c r="E19" t="s">
        <v>153</v>
      </c>
      <c r="S19" s="3" t="s">
        <v>51</v>
      </c>
      <c r="AA19" s="10"/>
      <c r="AB19" s="10" t="s">
        <v>146</v>
      </c>
      <c r="AC19" s="33" t="s">
        <v>138</v>
      </c>
      <c r="AF19" s="10" t="s">
        <v>59</v>
      </c>
      <c r="AI19" s="38">
        <v>0.33333333333333331</v>
      </c>
      <c r="AJ19" s="38">
        <v>0.70833333333333337</v>
      </c>
      <c r="AK19" s="24">
        <v>0.83333333333333337</v>
      </c>
    </row>
    <row r="20" spans="1:40" ht="14.25" customHeight="1">
      <c r="A20">
        <v>72</v>
      </c>
      <c r="B20" s="1">
        <v>10417544</v>
      </c>
      <c r="C20" s="1" t="s">
        <v>92</v>
      </c>
      <c r="D20" s="1" t="s">
        <v>154</v>
      </c>
      <c r="E20" s="1" t="s">
        <v>155</v>
      </c>
      <c r="F20" s="1" t="str">
        <f>D20&amp;" "&amp;E20</f>
        <v>สราวุธ โต้ตอบ</v>
      </c>
      <c r="G20" s="1" t="s">
        <v>156</v>
      </c>
      <c r="H20" s="1" t="s">
        <v>157</v>
      </c>
      <c r="I20" s="1">
        <v>10417544</v>
      </c>
      <c r="J20" s="1" t="s">
        <v>45</v>
      </c>
      <c r="K20" s="1" t="s">
        <v>158</v>
      </c>
      <c r="L20" s="1" t="s">
        <v>66</v>
      </c>
      <c r="M20" s="1" t="s">
        <v>48</v>
      </c>
      <c r="N20" s="1" t="s">
        <v>48</v>
      </c>
      <c r="O20" s="1" t="s">
        <v>159</v>
      </c>
      <c r="P20" s="1" t="s">
        <v>159</v>
      </c>
      <c r="Q20" s="1">
        <v>10358486</v>
      </c>
      <c r="R20" s="1" t="s">
        <v>68</v>
      </c>
      <c r="S20" s="3" t="s">
        <v>51</v>
      </c>
      <c r="T20" s="1" t="s">
        <v>52</v>
      </c>
      <c r="U20" s="1" t="s">
        <v>53</v>
      </c>
      <c r="V20" s="1" t="s">
        <v>54</v>
      </c>
      <c r="W20" s="1" t="s">
        <v>55</v>
      </c>
      <c r="X20" s="1">
        <v>1</v>
      </c>
      <c r="Y20" s="10" t="s">
        <v>56</v>
      </c>
      <c r="Z20" s="10"/>
      <c r="AA20" s="10"/>
      <c r="AB20" s="10" t="s">
        <v>146</v>
      </c>
      <c r="AC20" s="32" t="s">
        <v>76</v>
      </c>
      <c r="AD20" s="10"/>
      <c r="AE20" s="10"/>
      <c r="AF20" s="10" t="s">
        <v>59</v>
      </c>
      <c r="AG20" s="10"/>
      <c r="AH20" s="10"/>
      <c r="AI20" s="38">
        <v>0.33333333333333331</v>
      </c>
      <c r="AJ20" s="38">
        <v>0.70833333333333337</v>
      </c>
      <c r="AK20" s="24">
        <v>0.83333333333333337</v>
      </c>
    </row>
    <row r="21" spans="1:40" ht="14.25" customHeight="1">
      <c r="A21">
        <v>239</v>
      </c>
      <c r="B21" s="1">
        <v>10653715</v>
      </c>
      <c r="C21" s="1" t="s">
        <v>92</v>
      </c>
      <c r="D21" s="1" t="s">
        <v>160</v>
      </c>
      <c r="E21" s="1" t="s">
        <v>161</v>
      </c>
      <c r="F21" s="1" t="str">
        <f>D21&amp;" "&amp;E21</f>
        <v>ยุทธนา ภูทอง</v>
      </c>
      <c r="G21" s="1" t="s">
        <v>162</v>
      </c>
      <c r="H21" s="1" t="s">
        <v>163</v>
      </c>
      <c r="I21" s="1">
        <v>10653715</v>
      </c>
      <c r="J21" s="1" t="s">
        <v>45</v>
      </c>
      <c r="K21" s="2">
        <v>45664</v>
      </c>
      <c r="L21" s="1" t="s">
        <v>66</v>
      </c>
      <c r="M21" s="1" t="s">
        <v>48</v>
      </c>
      <c r="N21" s="1" t="s">
        <v>48</v>
      </c>
      <c r="O21" s="1" t="s">
        <v>89</v>
      </c>
      <c r="P21" s="1" t="s">
        <v>89</v>
      </c>
      <c r="Q21" s="1">
        <v>10358486</v>
      </c>
      <c r="R21" s="1" t="s">
        <v>68</v>
      </c>
      <c r="S21" s="3" t="s">
        <v>51</v>
      </c>
      <c r="T21" s="1" t="s">
        <v>52</v>
      </c>
      <c r="U21" s="1" t="s">
        <v>53</v>
      </c>
      <c r="V21" s="1" t="s">
        <v>54</v>
      </c>
      <c r="W21" s="1" t="s">
        <v>55</v>
      </c>
      <c r="X21" s="1">
        <v>1</v>
      </c>
      <c r="Y21" s="10" t="s">
        <v>56</v>
      </c>
      <c r="Z21" s="10"/>
      <c r="AA21" s="10"/>
      <c r="AB21" s="10" t="s">
        <v>146</v>
      </c>
      <c r="AC21" s="32" t="s">
        <v>138</v>
      </c>
      <c r="AD21" s="10"/>
      <c r="AE21" s="10"/>
      <c r="AF21" s="10" t="s">
        <v>59</v>
      </c>
      <c r="AG21" s="10"/>
      <c r="AH21" s="10"/>
      <c r="AI21" s="38">
        <v>0.33333333333333331</v>
      </c>
      <c r="AJ21" s="38">
        <v>0.70833333333333337</v>
      </c>
      <c r="AK21" s="24">
        <v>0.83333333333333337</v>
      </c>
    </row>
    <row r="22" spans="1:40" ht="14.25" customHeight="1">
      <c r="A22">
        <v>204</v>
      </c>
      <c r="B22" s="1">
        <v>10634220</v>
      </c>
      <c r="C22" s="1" t="s">
        <v>39</v>
      </c>
      <c r="D22" s="1" t="s">
        <v>164</v>
      </c>
      <c r="E22" s="1" t="s">
        <v>165</v>
      </c>
      <c r="F22" s="1" t="str">
        <f>D22&amp;" "&amp;E22</f>
        <v>ปวริศา ภิรมยา</v>
      </c>
      <c r="G22" s="1" t="s">
        <v>166</v>
      </c>
      <c r="H22" s="1" t="s">
        <v>167</v>
      </c>
      <c r="I22" s="1">
        <v>10634220</v>
      </c>
      <c r="J22" s="1" t="s">
        <v>45</v>
      </c>
      <c r="K22" s="1" t="s">
        <v>168</v>
      </c>
      <c r="L22" s="1" t="s">
        <v>66</v>
      </c>
      <c r="M22" s="1" t="s">
        <v>48</v>
      </c>
      <c r="N22" s="1" t="s">
        <v>48</v>
      </c>
      <c r="O22" s="1" t="s">
        <v>169</v>
      </c>
      <c r="P22" s="1" t="s">
        <v>169</v>
      </c>
      <c r="Q22" s="1">
        <v>10358486</v>
      </c>
      <c r="R22" s="1" t="s">
        <v>68</v>
      </c>
      <c r="S22" s="3" t="s">
        <v>51</v>
      </c>
      <c r="T22" s="1" t="s">
        <v>52</v>
      </c>
      <c r="U22" s="1" t="s">
        <v>53</v>
      </c>
      <c r="V22" s="1" t="s">
        <v>54</v>
      </c>
      <c r="W22" s="1" t="s">
        <v>55</v>
      </c>
      <c r="X22" s="1">
        <v>1</v>
      </c>
      <c r="Y22" s="10" t="s">
        <v>56</v>
      </c>
      <c r="Z22" s="10"/>
      <c r="AA22" s="10"/>
      <c r="AB22" s="10" t="s">
        <v>146</v>
      </c>
      <c r="AC22" s="32" t="s">
        <v>84</v>
      </c>
      <c r="AD22" s="10"/>
      <c r="AE22" s="10"/>
      <c r="AF22" s="10" t="s">
        <v>59</v>
      </c>
      <c r="AG22" s="10"/>
      <c r="AH22" s="10"/>
      <c r="AI22" s="38">
        <v>0.33333333333333331</v>
      </c>
      <c r="AJ22" s="38">
        <v>0.70833333333333337</v>
      </c>
      <c r="AK22" s="24">
        <v>0.83333333333333337</v>
      </c>
    </row>
    <row r="23" spans="1:40" ht="14.25" customHeight="1">
      <c r="A23">
        <v>217</v>
      </c>
      <c r="B23" s="1">
        <v>10643182</v>
      </c>
      <c r="C23" s="1" t="s">
        <v>92</v>
      </c>
      <c r="D23" s="1" t="s">
        <v>170</v>
      </c>
      <c r="E23" s="1" t="s">
        <v>171</v>
      </c>
      <c r="F23" s="1" t="str">
        <f>D23&amp;" "&amp;E23</f>
        <v>นัฐพงษ์ ไหวพริบ</v>
      </c>
      <c r="G23" s="1" t="s">
        <v>172</v>
      </c>
      <c r="H23" s="1" t="s">
        <v>173</v>
      </c>
      <c r="I23" s="1">
        <v>10643182</v>
      </c>
      <c r="J23" s="1" t="s">
        <v>45</v>
      </c>
      <c r="K23" s="2">
        <v>45661</v>
      </c>
      <c r="L23" s="1" t="s">
        <v>66</v>
      </c>
      <c r="M23" s="1" t="s">
        <v>48</v>
      </c>
      <c r="N23" s="1" t="s">
        <v>48</v>
      </c>
      <c r="O23" s="1" t="s">
        <v>174</v>
      </c>
      <c r="P23" s="1" t="s">
        <v>174</v>
      </c>
      <c r="Q23" s="1">
        <v>10358486</v>
      </c>
      <c r="R23" s="1" t="s">
        <v>68</v>
      </c>
      <c r="S23" s="3" t="s">
        <v>51</v>
      </c>
      <c r="T23" s="1" t="s">
        <v>52</v>
      </c>
      <c r="U23" s="1" t="s">
        <v>53</v>
      </c>
      <c r="V23" s="1" t="s">
        <v>54</v>
      </c>
      <c r="W23" s="1" t="s">
        <v>55</v>
      </c>
      <c r="X23" s="1">
        <v>1</v>
      </c>
      <c r="Y23" s="10" t="s">
        <v>56</v>
      </c>
      <c r="Z23" s="10"/>
      <c r="AA23" s="10"/>
      <c r="AB23" s="10" t="s">
        <v>146</v>
      </c>
      <c r="AC23" s="32" t="s">
        <v>58</v>
      </c>
      <c r="AD23" s="10"/>
      <c r="AE23" s="10"/>
      <c r="AF23" s="10" t="s">
        <v>59</v>
      </c>
      <c r="AG23" s="10"/>
      <c r="AH23" s="10"/>
      <c r="AI23" s="38">
        <v>0.33333333333333331</v>
      </c>
      <c r="AJ23" s="38">
        <v>0.70833333333333337</v>
      </c>
      <c r="AK23" s="24">
        <v>0.83333333333333337</v>
      </c>
    </row>
    <row r="24" spans="1:40" ht="14.25" customHeight="1">
      <c r="A24">
        <v>212</v>
      </c>
      <c r="B24" s="1">
        <v>10641135</v>
      </c>
      <c r="C24" s="1" t="s">
        <v>92</v>
      </c>
      <c r="D24" s="1" t="s">
        <v>175</v>
      </c>
      <c r="E24" s="1" t="s">
        <v>176</v>
      </c>
      <c r="F24" s="1" t="str">
        <f>D24&amp;" "&amp;E24</f>
        <v>ทรงยศ เกิดขาว</v>
      </c>
      <c r="G24" s="1" t="s">
        <v>177</v>
      </c>
      <c r="H24" s="1" t="s">
        <v>178</v>
      </c>
      <c r="I24" s="1">
        <v>10641135</v>
      </c>
      <c r="J24" s="1" t="s">
        <v>45</v>
      </c>
      <c r="K24" s="1" t="s">
        <v>179</v>
      </c>
      <c r="L24" s="1" t="s">
        <v>66</v>
      </c>
      <c r="M24" s="1" t="s">
        <v>48</v>
      </c>
      <c r="N24" s="1" t="s">
        <v>48</v>
      </c>
      <c r="O24" s="1" t="s">
        <v>180</v>
      </c>
      <c r="P24" s="1" t="s">
        <v>180</v>
      </c>
      <c r="Q24" s="1">
        <v>10358486</v>
      </c>
      <c r="R24" s="1" t="s">
        <v>68</v>
      </c>
      <c r="S24" s="3" t="s">
        <v>51</v>
      </c>
      <c r="T24" s="1" t="s">
        <v>52</v>
      </c>
      <c r="U24" s="1" t="s">
        <v>53</v>
      </c>
      <c r="V24" s="1" t="s">
        <v>54</v>
      </c>
      <c r="W24" s="1" t="s">
        <v>55</v>
      </c>
      <c r="X24" s="1">
        <v>1</v>
      </c>
      <c r="Y24" s="10" t="s">
        <v>56</v>
      </c>
      <c r="Z24" s="10"/>
      <c r="AA24" s="10"/>
      <c r="AB24" s="10" t="s">
        <v>146</v>
      </c>
      <c r="AC24" s="32" t="s">
        <v>69</v>
      </c>
      <c r="AD24" s="10"/>
      <c r="AE24" s="10"/>
      <c r="AF24" s="10" t="s">
        <v>59</v>
      </c>
      <c r="AG24" s="10"/>
      <c r="AH24" s="10"/>
      <c r="AI24" s="38">
        <v>0.33333333333333331</v>
      </c>
      <c r="AJ24" s="38">
        <v>0.70833333333333337</v>
      </c>
      <c r="AK24" s="24">
        <v>0.83333333333333337</v>
      </c>
    </row>
    <row r="25" spans="1:40" ht="14.25" customHeight="1">
      <c r="A25">
        <v>229</v>
      </c>
      <c r="B25" s="1">
        <v>10652130</v>
      </c>
      <c r="C25" s="1" t="s">
        <v>92</v>
      </c>
      <c r="D25" s="1" t="s">
        <v>181</v>
      </c>
      <c r="E25" s="1" t="s">
        <v>182</v>
      </c>
      <c r="F25" s="1" t="str">
        <f>D25&amp;" "&amp;E25</f>
        <v>ชยุต ธาทนะปรีดา</v>
      </c>
      <c r="G25" s="1" t="s">
        <v>183</v>
      </c>
      <c r="H25" s="1" t="s">
        <v>184</v>
      </c>
      <c r="I25" s="1">
        <v>10652130</v>
      </c>
      <c r="J25" s="1" t="s">
        <v>45</v>
      </c>
      <c r="K25" s="1" t="s">
        <v>115</v>
      </c>
      <c r="L25" s="1" t="s">
        <v>66</v>
      </c>
      <c r="M25" s="1" t="s">
        <v>48</v>
      </c>
      <c r="N25" s="1" t="s">
        <v>48</v>
      </c>
      <c r="O25" s="1" t="s">
        <v>116</v>
      </c>
      <c r="P25" s="1" t="s">
        <v>116</v>
      </c>
      <c r="Q25" s="1">
        <v>10358486</v>
      </c>
      <c r="R25" s="1" t="s">
        <v>68</v>
      </c>
      <c r="S25" s="3" t="s">
        <v>51</v>
      </c>
      <c r="T25" s="1" t="s">
        <v>52</v>
      </c>
      <c r="U25" s="1" t="s">
        <v>53</v>
      </c>
      <c r="V25" s="1" t="s">
        <v>54</v>
      </c>
      <c r="W25" s="1" t="s">
        <v>55</v>
      </c>
      <c r="X25" s="1">
        <v>1</v>
      </c>
      <c r="Y25" s="10" t="s">
        <v>56</v>
      </c>
      <c r="Z25" s="10"/>
      <c r="AA25" s="10"/>
      <c r="AB25" s="10" t="s">
        <v>146</v>
      </c>
      <c r="AC25" s="32" t="s">
        <v>69</v>
      </c>
      <c r="AD25" s="10"/>
      <c r="AE25" s="10"/>
      <c r="AF25" s="10" t="s">
        <v>59</v>
      </c>
      <c r="AG25" s="10"/>
      <c r="AH25" s="10"/>
      <c r="AI25" s="38">
        <v>0.33333333333333331</v>
      </c>
      <c r="AJ25" s="38">
        <v>0.70833333333333337</v>
      </c>
      <c r="AK25" s="24">
        <v>0.83333333333333337</v>
      </c>
    </row>
    <row r="26" spans="1:40" ht="14.25" customHeight="1">
      <c r="A26">
        <v>352</v>
      </c>
      <c r="B26" s="1">
        <v>10680215</v>
      </c>
      <c r="C26" s="1" t="s">
        <v>92</v>
      </c>
      <c r="D26" s="1" t="s">
        <v>185</v>
      </c>
      <c r="E26" s="1" t="s">
        <v>186</v>
      </c>
      <c r="F26" s="1" t="str">
        <f>D26&amp;" "&amp;E26</f>
        <v>อนุภัทร ชูเชิด</v>
      </c>
      <c r="G26" s="1" t="s">
        <v>187</v>
      </c>
      <c r="H26" s="1" t="s">
        <v>188</v>
      </c>
      <c r="I26" s="1">
        <v>10680215</v>
      </c>
      <c r="J26" s="1" t="s">
        <v>45</v>
      </c>
      <c r="K26" s="1" t="s">
        <v>97</v>
      </c>
      <c r="L26" s="1" t="s">
        <v>66</v>
      </c>
      <c r="M26" s="1" t="s">
        <v>48</v>
      </c>
      <c r="N26" s="1" t="s">
        <v>98</v>
      </c>
      <c r="O26" s="1" t="s">
        <v>99</v>
      </c>
      <c r="P26" s="1" t="s">
        <v>100</v>
      </c>
      <c r="Q26" s="1">
        <v>10358476</v>
      </c>
      <c r="R26" s="1" t="s">
        <v>151</v>
      </c>
      <c r="S26" s="3" t="s">
        <v>51</v>
      </c>
      <c r="T26" s="1" t="s">
        <v>52</v>
      </c>
      <c r="U26" s="1" t="s">
        <v>53</v>
      </c>
      <c r="V26" s="1" t="s">
        <v>54</v>
      </c>
      <c r="W26" s="1" t="s">
        <v>55</v>
      </c>
      <c r="X26" s="1">
        <v>1</v>
      </c>
      <c r="Y26" s="10" t="s">
        <v>56</v>
      </c>
      <c r="Z26" s="10"/>
      <c r="AA26" s="10"/>
      <c r="AB26" s="10" t="s">
        <v>146</v>
      </c>
      <c r="AC26" s="32" t="s">
        <v>84</v>
      </c>
      <c r="AD26" s="10"/>
      <c r="AE26" s="10"/>
      <c r="AF26" s="10" t="s">
        <v>77</v>
      </c>
      <c r="AG26" s="10"/>
      <c r="AH26" s="10"/>
      <c r="AL26" s="38">
        <v>0.75</v>
      </c>
      <c r="AM26" s="38">
        <v>0.125</v>
      </c>
      <c r="AN26" s="24">
        <v>0.29166666666666669</v>
      </c>
    </row>
    <row r="27" spans="1:40" ht="14.25" customHeight="1">
      <c r="A27">
        <v>205</v>
      </c>
      <c r="B27" s="1">
        <v>10634228</v>
      </c>
      <c r="C27" s="1" t="s">
        <v>39</v>
      </c>
      <c r="D27" s="1" t="s">
        <v>189</v>
      </c>
      <c r="E27" s="1" t="s">
        <v>190</v>
      </c>
      <c r="F27" s="1" t="str">
        <f>D27&amp;" "&amp;E27</f>
        <v>สุภัทร์ตรา ยามสุข</v>
      </c>
      <c r="G27" s="1" t="s">
        <v>191</v>
      </c>
      <c r="H27" s="1" t="s">
        <v>192</v>
      </c>
      <c r="I27" s="1">
        <v>10634228</v>
      </c>
      <c r="J27" s="1" t="s">
        <v>45</v>
      </c>
      <c r="K27" s="1" t="s">
        <v>168</v>
      </c>
      <c r="L27" s="1" t="s">
        <v>66</v>
      </c>
      <c r="M27" s="1" t="s">
        <v>48</v>
      </c>
      <c r="N27" s="1" t="s">
        <v>48</v>
      </c>
      <c r="O27" s="1" t="s">
        <v>169</v>
      </c>
      <c r="P27" s="1" t="s">
        <v>169</v>
      </c>
      <c r="Q27" s="1">
        <v>10358486</v>
      </c>
      <c r="R27" s="1" t="s">
        <v>68</v>
      </c>
      <c r="S27" s="3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>
        <v>1</v>
      </c>
      <c r="Y27" s="10" t="s">
        <v>56</v>
      </c>
      <c r="Z27" s="10"/>
      <c r="AA27" s="10"/>
      <c r="AB27" s="10" t="s">
        <v>146</v>
      </c>
      <c r="AC27" s="32" t="s">
        <v>84</v>
      </c>
      <c r="AD27" s="10"/>
      <c r="AE27" s="10"/>
      <c r="AF27" s="10" t="s">
        <v>77</v>
      </c>
      <c r="AG27" s="10"/>
      <c r="AH27" s="10"/>
      <c r="AL27" s="38">
        <v>0.75</v>
      </c>
      <c r="AM27" s="38">
        <v>0.125</v>
      </c>
      <c r="AN27" s="24">
        <v>0.29166666666666669</v>
      </c>
    </row>
    <row r="28" spans="1:40" ht="14.25" customHeight="1">
      <c r="A28">
        <v>293</v>
      </c>
      <c r="B28" s="1">
        <v>10664114</v>
      </c>
      <c r="C28" s="1" t="s">
        <v>92</v>
      </c>
      <c r="D28" s="1" t="s">
        <v>193</v>
      </c>
      <c r="E28" s="1" t="s">
        <v>194</v>
      </c>
      <c r="F28" s="1" t="str">
        <f>D28&amp;" "&amp;E28</f>
        <v>ศุภชัย เที่ยงตรง</v>
      </c>
      <c r="G28" s="1" t="s">
        <v>195</v>
      </c>
      <c r="H28" s="1" t="s">
        <v>196</v>
      </c>
      <c r="I28" s="1">
        <v>10664114</v>
      </c>
      <c r="J28" s="1" t="s">
        <v>45</v>
      </c>
      <c r="K28" s="2">
        <v>45878</v>
      </c>
      <c r="L28" s="1" t="s">
        <v>66</v>
      </c>
      <c r="M28" s="1" t="s">
        <v>48</v>
      </c>
      <c r="N28" s="1" t="s">
        <v>48</v>
      </c>
      <c r="O28" s="2">
        <v>46143</v>
      </c>
      <c r="P28" s="2">
        <v>46143</v>
      </c>
      <c r="Q28" s="1">
        <v>10358486</v>
      </c>
      <c r="R28" s="1" t="s">
        <v>68</v>
      </c>
      <c r="S28" s="3" t="s">
        <v>51</v>
      </c>
      <c r="T28" s="1" t="s">
        <v>52</v>
      </c>
      <c r="U28" s="1" t="s">
        <v>53</v>
      </c>
      <c r="V28" s="1" t="s">
        <v>54</v>
      </c>
      <c r="W28" s="1" t="s">
        <v>55</v>
      </c>
      <c r="X28" s="1">
        <v>1</v>
      </c>
      <c r="Y28" s="10" t="s">
        <v>56</v>
      </c>
      <c r="Z28" s="10"/>
      <c r="AA28" s="10"/>
      <c r="AB28" s="10" t="s">
        <v>146</v>
      </c>
      <c r="AC28" s="32" t="s">
        <v>91</v>
      </c>
      <c r="AD28" s="10"/>
      <c r="AE28" s="10"/>
      <c r="AF28" s="10" t="s">
        <v>77</v>
      </c>
      <c r="AG28" s="10"/>
      <c r="AH28" s="10"/>
      <c r="AL28" s="38">
        <v>0.75</v>
      </c>
      <c r="AM28" s="38">
        <v>0.125</v>
      </c>
      <c r="AN28" s="24">
        <v>0.29166666666666669</v>
      </c>
    </row>
    <row r="29" spans="1:40" ht="14.25" customHeight="1">
      <c r="A29">
        <v>55</v>
      </c>
      <c r="B29" s="1">
        <v>10400672</v>
      </c>
      <c r="C29" s="1" t="s">
        <v>39</v>
      </c>
      <c r="D29" s="1" t="s">
        <v>197</v>
      </c>
      <c r="E29" s="1" t="s">
        <v>198</v>
      </c>
      <c r="F29" s="1" t="str">
        <f>D29&amp;" "&amp;E29</f>
        <v>วิภารัตน์ เมืองสวัสดิ์</v>
      </c>
      <c r="G29" s="1" t="s">
        <v>199</v>
      </c>
      <c r="H29" s="1" t="s">
        <v>200</v>
      </c>
      <c r="I29" s="1">
        <v>10400672</v>
      </c>
      <c r="J29" s="1" t="s">
        <v>45</v>
      </c>
      <c r="K29" s="2">
        <v>43866</v>
      </c>
      <c r="L29" s="1" t="s">
        <v>66</v>
      </c>
      <c r="M29" s="1" t="s">
        <v>48</v>
      </c>
      <c r="N29" s="1" t="s">
        <v>48</v>
      </c>
      <c r="O29" s="1" t="s">
        <v>201</v>
      </c>
      <c r="P29" s="1" t="s">
        <v>201</v>
      </c>
      <c r="Q29" s="1">
        <v>10358486</v>
      </c>
      <c r="R29" s="1" t="s">
        <v>68</v>
      </c>
      <c r="S29" s="3" t="s">
        <v>51</v>
      </c>
      <c r="T29" s="1" t="s">
        <v>52</v>
      </c>
      <c r="U29" s="1" t="s">
        <v>53</v>
      </c>
      <c r="V29" s="1" t="s">
        <v>54</v>
      </c>
      <c r="W29" s="1" t="s">
        <v>55</v>
      </c>
      <c r="X29" s="1">
        <v>1</v>
      </c>
      <c r="Y29" s="10" t="s">
        <v>56</v>
      </c>
      <c r="Z29" s="10"/>
      <c r="AA29" s="10"/>
      <c r="AB29" s="10" t="s">
        <v>146</v>
      </c>
      <c r="AC29" s="32" t="s">
        <v>69</v>
      </c>
      <c r="AD29" s="10"/>
      <c r="AE29" s="10"/>
      <c r="AF29" s="10" t="s">
        <v>77</v>
      </c>
      <c r="AG29" s="10"/>
      <c r="AH29" s="10"/>
      <c r="AL29" s="38">
        <v>0.75</v>
      </c>
      <c r="AM29" s="38">
        <v>0.125</v>
      </c>
      <c r="AN29" s="24">
        <v>0.29166666666666669</v>
      </c>
    </row>
    <row r="30" spans="1:40" ht="14.25" customHeight="1">
      <c r="B30">
        <v>10567884</v>
      </c>
      <c r="D30" t="s">
        <v>202</v>
      </c>
      <c r="E30" t="s">
        <v>203</v>
      </c>
      <c r="S30" s="3" t="s">
        <v>51</v>
      </c>
      <c r="AA30" s="10"/>
      <c r="AB30" s="10" t="s">
        <v>146</v>
      </c>
      <c r="AC30" s="33" t="s">
        <v>138</v>
      </c>
      <c r="AF30" s="10" t="s">
        <v>77</v>
      </c>
      <c r="AL30" s="38">
        <v>0.75</v>
      </c>
      <c r="AM30" s="38">
        <v>0.125</v>
      </c>
      <c r="AN30" s="24">
        <v>0.29166666666666669</v>
      </c>
    </row>
    <row r="31" spans="1:40" ht="14.25" customHeight="1">
      <c r="B31">
        <v>10625418</v>
      </c>
      <c r="D31" t="s">
        <v>204</v>
      </c>
      <c r="E31" t="s">
        <v>205</v>
      </c>
      <c r="S31" s="3" t="s">
        <v>51</v>
      </c>
      <c r="AA31" s="10"/>
      <c r="AB31" s="10" t="s">
        <v>146</v>
      </c>
      <c r="AC31" s="33" t="s">
        <v>58</v>
      </c>
      <c r="AF31" s="10" t="s">
        <v>77</v>
      </c>
      <c r="AL31" s="38">
        <v>0.75</v>
      </c>
      <c r="AM31" s="38">
        <v>0.125</v>
      </c>
      <c r="AN31" s="24">
        <v>0.29166666666666669</v>
      </c>
    </row>
    <row r="32" spans="1:40" ht="14.25" customHeight="1">
      <c r="A32">
        <v>165</v>
      </c>
      <c r="B32" s="1">
        <v>10601105</v>
      </c>
      <c r="C32" s="1" t="s">
        <v>92</v>
      </c>
      <c r="D32" s="1" t="s">
        <v>206</v>
      </c>
      <c r="E32" s="1" t="s">
        <v>207</v>
      </c>
      <c r="F32" s="1" t="str">
        <f>D32&amp;" "&amp;E32</f>
        <v>ธนูทรัพย์ กองปัญญา</v>
      </c>
      <c r="G32" s="1" t="s">
        <v>208</v>
      </c>
      <c r="H32" s="1" t="s">
        <v>209</v>
      </c>
      <c r="I32" s="1">
        <v>10601105</v>
      </c>
      <c r="J32" s="1" t="s">
        <v>45</v>
      </c>
      <c r="K32" s="1" t="s">
        <v>210</v>
      </c>
      <c r="L32" s="1" t="s">
        <v>66</v>
      </c>
      <c r="M32" s="1" t="s">
        <v>48</v>
      </c>
      <c r="N32" s="1" t="s">
        <v>48</v>
      </c>
      <c r="O32" s="1" t="s">
        <v>211</v>
      </c>
      <c r="P32" s="1" t="s">
        <v>211</v>
      </c>
      <c r="Q32" s="1">
        <v>10358486</v>
      </c>
      <c r="R32" s="1" t="s">
        <v>68</v>
      </c>
      <c r="S32" s="3" t="s">
        <v>51</v>
      </c>
      <c r="T32" s="1" t="s">
        <v>52</v>
      </c>
      <c r="U32" s="1" t="s">
        <v>53</v>
      </c>
      <c r="V32" s="1" t="s">
        <v>54</v>
      </c>
      <c r="W32" s="1" t="s">
        <v>55</v>
      </c>
      <c r="X32" s="1">
        <v>1</v>
      </c>
      <c r="Y32" s="10" t="s">
        <v>56</v>
      </c>
      <c r="Z32" s="10"/>
      <c r="AA32" s="10"/>
      <c r="AB32" s="10" t="s">
        <v>146</v>
      </c>
      <c r="AC32" s="32" t="s">
        <v>212</v>
      </c>
      <c r="AD32" s="10"/>
      <c r="AE32" s="10"/>
      <c r="AF32" s="10" t="s">
        <v>77</v>
      </c>
      <c r="AG32" s="10"/>
      <c r="AH32" s="10"/>
      <c r="AL32" s="38">
        <v>0.75</v>
      </c>
      <c r="AM32" s="38">
        <v>0.125</v>
      </c>
      <c r="AN32" s="24">
        <v>0.29166666666666669</v>
      </c>
    </row>
    <row r="33" spans="1:42" ht="14.25" customHeight="1">
      <c r="A33">
        <v>54</v>
      </c>
      <c r="B33" s="1">
        <v>10400670</v>
      </c>
      <c r="C33" s="1" t="s">
        <v>92</v>
      </c>
      <c r="D33" s="1" t="s">
        <v>213</v>
      </c>
      <c r="E33" s="1" t="s">
        <v>214</v>
      </c>
      <c r="F33" s="1" t="str">
        <f>D33&amp;" "&amp;E33</f>
        <v>ณัฐพล ทองจันทร์</v>
      </c>
      <c r="G33" s="1" t="s">
        <v>215</v>
      </c>
      <c r="H33" s="1" t="s">
        <v>216</v>
      </c>
      <c r="I33" s="1">
        <v>10400670</v>
      </c>
      <c r="J33" s="1" t="s">
        <v>45</v>
      </c>
      <c r="K33" s="2">
        <v>43866</v>
      </c>
      <c r="L33" s="1" t="s">
        <v>66</v>
      </c>
      <c r="M33" s="1" t="s">
        <v>48</v>
      </c>
      <c r="N33" s="1" t="s">
        <v>48</v>
      </c>
      <c r="O33" s="1" t="s">
        <v>201</v>
      </c>
      <c r="P33" s="1" t="s">
        <v>201</v>
      </c>
      <c r="Q33" s="1">
        <v>10358486</v>
      </c>
      <c r="R33" s="1" t="s">
        <v>68</v>
      </c>
      <c r="S33" s="3" t="s">
        <v>51</v>
      </c>
      <c r="T33" s="1" t="s">
        <v>52</v>
      </c>
      <c r="U33" s="1" t="s">
        <v>53</v>
      </c>
      <c r="V33" s="1" t="s">
        <v>54</v>
      </c>
      <c r="W33" s="1" t="s">
        <v>55</v>
      </c>
      <c r="X33" s="1">
        <v>1</v>
      </c>
      <c r="Y33" s="10" t="s">
        <v>56</v>
      </c>
      <c r="Z33" s="10"/>
      <c r="AA33" s="10"/>
      <c r="AB33" s="10" t="s">
        <v>146</v>
      </c>
      <c r="AC33" s="32" t="s">
        <v>69</v>
      </c>
      <c r="AD33" s="10"/>
      <c r="AE33" s="10"/>
      <c r="AF33" s="10" t="s">
        <v>77</v>
      </c>
      <c r="AG33" s="10"/>
      <c r="AH33" s="10"/>
      <c r="AL33" s="38">
        <v>0.75</v>
      </c>
      <c r="AM33" s="38">
        <v>0.125</v>
      </c>
      <c r="AN33" s="24">
        <v>0.29166666666666669</v>
      </c>
    </row>
    <row r="34" spans="1:42" ht="14.25" customHeight="1">
      <c r="A34">
        <v>130</v>
      </c>
      <c r="B34" s="1">
        <v>10545025</v>
      </c>
      <c r="C34" s="1" t="s">
        <v>92</v>
      </c>
      <c r="D34" s="1" t="s">
        <v>213</v>
      </c>
      <c r="E34" s="1" t="s">
        <v>217</v>
      </c>
      <c r="F34" s="1" t="str">
        <f>D34&amp;" "&amp;E34</f>
        <v>ณัฐพล รามัญ</v>
      </c>
      <c r="G34" s="1" t="s">
        <v>80</v>
      </c>
      <c r="H34" s="1" t="s">
        <v>218</v>
      </c>
      <c r="I34" s="1">
        <v>10545025</v>
      </c>
      <c r="J34" s="1" t="s">
        <v>45</v>
      </c>
      <c r="K34" s="1" t="s">
        <v>219</v>
      </c>
      <c r="L34" s="1" t="s">
        <v>66</v>
      </c>
      <c r="M34" s="1" t="s">
        <v>48</v>
      </c>
      <c r="N34" s="1" t="s">
        <v>48</v>
      </c>
      <c r="O34" s="1" t="s">
        <v>220</v>
      </c>
      <c r="P34" s="1" t="s">
        <v>220</v>
      </c>
      <c r="Q34" s="1">
        <v>10358486</v>
      </c>
      <c r="R34" s="1" t="s">
        <v>68</v>
      </c>
      <c r="S34" s="3" t="s">
        <v>51</v>
      </c>
      <c r="T34" s="1" t="s">
        <v>52</v>
      </c>
      <c r="U34" s="1" t="s">
        <v>53</v>
      </c>
      <c r="V34" s="1" t="s">
        <v>54</v>
      </c>
      <c r="W34" s="1" t="s">
        <v>55</v>
      </c>
      <c r="X34" s="1">
        <v>1</v>
      </c>
      <c r="Y34" s="10" t="s">
        <v>56</v>
      </c>
      <c r="Z34" s="10"/>
      <c r="AA34" s="10"/>
      <c r="AB34" s="10" t="s">
        <v>146</v>
      </c>
      <c r="AC34" s="32" t="s">
        <v>91</v>
      </c>
      <c r="AD34" s="10"/>
      <c r="AE34" s="10"/>
      <c r="AF34" s="10" t="s">
        <v>77</v>
      </c>
      <c r="AG34" s="10"/>
      <c r="AH34" s="10"/>
      <c r="AL34" s="38">
        <v>0.75</v>
      </c>
      <c r="AM34" s="38">
        <v>0.125</v>
      </c>
      <c r="AN34" s="24">
        <v>0.29166666666666669</v>
      </c>
    </row>
    <row r="35" spans="1:42" ht="14.25" customHeight="1">
      <c r="A35">
        <v>187</v>
      </c>
      <c r="B35" s="1">
        <v>10609778</v>
      </c>
      <c r="C35" s="1" t="s">
        <v>92</v>
      </c>
      <c r="D35" s="1" t="s">
        <v>221</v>
      </c>
      <c r="E35" s="1" t="s">
        <v>222</v>
      </c>
      <c r="F35" s="1" t="str">
        <f>D35&amp;" "&amp;E35</f>
        <v>อภิชัย พิมพ์สุวรรณ</v>
      </c>
      <c r="G35" s="1" t="s">
        <v>223</v>
      </c>
      <c r="H35" s="1" t="s">
        <v>224</v>
      </c>
      <c r="I35" s="1">
        <v>10609778</v>
      </c>
      <c r="J35" s="1" t="s">
        <v>45</v>
      </c>
      <c r="K35" s="1" t="s">
        <v>225</v>
      </c>
      <c r="L35" s="1" t="s">
        <v>66</v>
      </c>
      <c r="M35" s="1" t="s">
        <v>48</v>
      </c>
      <c r="N35" s="1" t="s">
        <v>48</v>
      </c>
      <c r="O35" s="1" t="s">
        <v>226</v>
      </c>
      <c r="P35" s="1" t="s">
        <v>226</v>
      </c>
      <c r="Q35" s="1">
        <v>10358486</v>
      </c>
      <c r="R35" s="1" t="s">
        <v>68</v>
      </c>
      <c r="S35" s="3" t="s">
        <v>51</v>
      </c>
      <c r="T35" s="1" t="s">
        <v>52</v>
      </c>
      <c r="U35" s="1" t="s">
        <v>53</v>
      </c>
      <c r="V35" s="1" t="s">
        <v>54</v>
      </c>
      <c r="W35" s="1" t="s">
        <v>55</v>
      </c>
      <c r="X35" s="1">
        <v>1</v>
      </c>
      <c r="Y35" s="10" t="s">
        <v>56</v>
      </c>
      <c r="Z35" s="10"/>
      <c r="AA35" s="10"/>
      <c r="AB35" s="10" t="s">
        <v>146</v>
      </c>
      <c r="AC35" s="32" t="s">
        <v>212</v>
      </c>
      <c r="AD35" s="10"/>
      <c r="AE35" s="10"/>
      <c r="AF35" s="10" t="s">
        <v>227</v>
      </c>
      <c r="AG35" s="10"/>
      <c r="AH35" s="10"/>
      <c r="AO35" s="38">
        <v>0.79166666666666663</v>
      </c>
      <c r="AP35" s="38">
        <v>0.16666666666666666</v>
      </c>
    </row>
    <row r="36" spans="1:42" ht="14.25" customHeight="1">
      <c r="A36">
        <v>179</v>
      </c>
      <c r="B36" s="1">
        <v>10606781</v>
      </c>
      <c r="C36" s="1" t="s">
        <v>92</v>
      </c>
      <c r="D36" s="1" t="s">
        <v>228</v>
      </c>
      <c r="E36" s="1" t="s">
        <v>229</v>
      </c>
      <c r="F36" s="1" t="str">
        <f>D36&amp;" "&amp;E36</f>
        <v>พีรพัฒน์ สุขพันธ์</v>
      </c>
      <c r="G36" s="1" t="s">
        <v>230</v>
      </c>
      <c r="H36" s="1" t="s">
        <v>231</v>
      </c>
      <c r="I36" s="1">
        <v>10606781</v>
      </c>
      <c r="J36" s="1" t="s">
        <v>45</v>
      </c>
      <c r="K36" s="2">
        <v>45327</v>
      </c>
      <c r="L36" s="1" t="s">
        <v>66</v>
      </c>
      <c r="M36" s="1" t="s">
        <v>48</v>
      </c>
      <c r="N36" s="1" t="s">
        <v>48</v>
      </c>
      <c r="O36" s="1" t="s">
        <v>232</v>
      </c>
      <c r="P36" s="1" t="s">
        <v>232</v>
      </c>
      <c r="Q36" s="1">
        <v>10358486</v>
      </c>
      <c r="R36" s="1" t="s">
        <v>68</v>
      </c>
      <c r="S36" s="3" t="s">
        <v>51</v>
      </c>
      <c r="T36" s="1" t="s">
        <v>52</v>
      </c>
      <c r="U36" s="1" t="s">
        <v>53</v>
      </c>
      <c r="V36" s="1" t="s">
        <v>54</v>
      </c>
      <c r="W36" s="1" t="s">
        <v>55</v>
      </c>
      <c r="X36" s="1">
        <v>1</v>
      </c>
      <c r="Y36" s="10" t="s">
        <v>56</v>
      </c>
      <c r="Z36" s="10"/>
      <c r="AA36" s="10"/>
      <c r="AB36" s="10" t="s">
        <v>146</v>
      </c>
      <c r="AC36" s="32" t="s">
        <v>212</v>
      </c>
      <c r="AD36" s="10"/>
      <c r="AE36" s="10"/>
      <c r="AF36" s="10" t="s">
        <v>227</v>
      </c>
      <c r="AG36" s="10"/>
      <c r="AH36" s="10"/>
      <c r="AO36" s="38">
        <v>0.79166666666666663</v>
      </c>
      <c r="AP36" s="38">
        <v>0.16666666666666666</v>
      </c>
    </row>
    <row r="37" spans="1:42" ht="14.25" customHeight="1">
      <c r="A37">
        <v>192</v>
      </c>
      <c r="B37" s="1">
        <v>10619221</v>
      </c>
      <c r="C37" s="1" t="s">
        <v>92</v>
      </c>
      <c r="D37" s="1" t="s">
        <v>233</v>
      </c>
      <c r="E37" s="1" t="s">
        <v>234</v>
      </c>
      <c r="F37" s="1" t="str">
        <f>D37&amp;" "&amp;E37</f>
        <v>พงศกร ชัยประเสริฐ</v>
      </c>
      <c r="G37" s="1" t="s">
        <v>235</v>
      </c>
      <c r="H37" s="1" t="s">
        <v>236</v>
      </c>
      <c r="I37" s="1">
        <v>10619221</v>
      </c>
      <c r="J37" s="1" t="s">
        <v>45</v>
      </c>
      <c r="K37" s="2">
        <v>45299</v>
      </c>
      <c r="L37" s="1" t="s">
        <v>66</v>
      </c>
      <c r="M37" s="1" t="s">
        <v>48</v>
      </c>
      <c r="N37" s="1" t="s">
        <v>48</v>
      </c>
      <c r="O37" s="1" t="s">
        <v>237</v>
      </c>
      <c r="P37" s="1" t="s">
        <v>237</v>
      </c>
      <c r="Q37" s="1">
        <v>10358486</v>
      </c>
      <c r="R37" s="1" t="s">
        <v>68</v>
      </c>
      <c r="S37" s="3" t="s">
        <v>51</v>
      </c>
      <c r="T37" s="1" t="s">
        <v>52</v>
      </c>
      <c r="U37" s="1" t="s">
        <v>53</v>
      </c>
      <c r="V37" s="1" t="s">
        <v>54</v>
      </c>
      <c r="W37" s="1" t="s">
        <v>55</v>
      </c>
      <c r="X37" s="1">
        <v>1</v>
      </c>
      <c r="Y37" s="10" t="s">
        <v>56</v>
      </c>
      <c r="Z37" s="10"/>
      <c r="AA37" s="10"/>
      <c r="AB37" s="10" t="s">
        <v>146</v>
      </c>
      <c r="AC37" s="32" t="s">
        <v>138</v>
      </c>
      <c r="AD37" s="10"/>
      <c r="AE37" s="10"/>
      <c r="AF37" s="10" t="s">
        <v>227</v>
      </c>
      <c r="AG37" s="10"/>
      <c r="AH37" s="10"/>
      <c r="AO37" s="38">
        <v>0.79166666666666663</v>
      </c>
      <c r="AP37" s="38">
        <v>0.16666666666666666</v>
      </c>
    </row>
    <row r="38" spans="1:42" ht="14.25" customHeight="1">
      <c r="B38">
        <v>10639755</v>
      </c>
      <c r="D38" t="s">
        <v>238</v>
      </c>
      <c r="E38" t="s">
        <v>239</v>
      </c>
      <c r="S38" s="3" t="s">
        <v>51</v>
      </c>
      <c r="AA38" s="10"/>
      <c r="AB38" s="10" t="s">
        <v>146</v>
      </c>
      <c r="AC38" s="33" t="s">
        <v>91</v>
      </c>
      <c r="AF38" s="10" t="s">
        <v>227</v>
      </c>
      <c r="AO38" s="38">
        <v>0.79166666666666663</v>
      </c>
      <c r="AP38" s="38">
        <v>0.16666666666666666</v>
      </c>
    </row>
    <row r="39" spans="1:42" ht="14.25" customHeight="1">
      <c r="A39">
        <v>201</v>
      </c>
      <c r="B39" s="1">
        <v>10629908</v>
      </c>
      <c r="C39" s="1" t="s">
        <v>92</v>
      </c>
      <c r="D39" s="1" t="s">
        <v>240</v>
      </c>
      <c r="E39" s="1" t="s">
        <v>241</v>
      </c>
      <c r="F39" s="1" t="str">
        <f>D39&amp;" "&amp;E39</f>
        <v>ธนาธรณ์ ใยทอง</v>
      </c>
      <c r="G39" s="1" t="s">
        <v>242</v>
      </c>
      <c r="H39" s="1" t="s">
        <v>243</v>
      </c>
      <c r="I39" s="1">
        <v>10629908</v>
      </c>
      <c r="J39" s="1" t="s">
        <v>45</v>
      </c>
      <c r="K39" s="1" t="s">
        <v>244</v>
      </c>
      <c r="L39" s="1" t="s">
        <v>66</v>
      </c>
      <c r="M39" s="1" t="s">
        <v>48</v>
      </c>
      <c r="N39" s="1" t="s">
        <v>48</v>
      </c>
      <c r="O39" s="1" t="s">
        <v>245</v>
      </c>
      <c r="P39" s="1" t="s">
        <v>245</v>
      </c>
      <c r="Q39" s="1">
        <v>10358486</v>
      </c>
      <c r="R39" s="1" t="s">
        <v>68</v>
      </c>
      <c r="S39" s="3" t="s">
        <v>51</v>
      </c>
      <c r="T39" s="1" t="s">
        <v>52</v>
      </c>
      <c r="U39" s="1" t="s">
        <v>53</v>
      </c>
      <c r="V39" s="1" t="s">
        <v>54</v>
      </c>
      <c r="W39" s="1" t="s">
        <v>55</v>
      </c>
      <c r="X39" s="1">
        <v>1</v>
      </c>
      <c r="Y39" s="10" t="s">
        <v>56</v>
      </c>
      <c r="Z39" s="10"/>
      <c r="AA39" s="10"/>
      <c r="AB39" s="10" t="s">
        <v>146</v>
      </c>
      <c r="AC39" s="32" t="s">
        <v>58</v>
      </c>
      <c r="AD39" s="10"/>
      <c r="AE39" s="10"/>
      <c r="AF39" s="10" t="s">
        <v>227</v>
      </c>
      <c r="AG39" s="10"/>
      <c r="AH39" s="10"/>
      <c r="AO39" s="38">
        <v>0.79166666666666663</v>
      </c>
      <c r="AP39" s="38">
        <v>0.16666666666666666</v>
      </c>
    </row>
    <row r="40" spans="1:42" ht="14.25" customHeight="1">
      <c r="A40">
        <v>85</v>
      </c>
      <c r="B40" s="1">
        <v>10432003</v>
      </c>
      <c r="C40" s="1" t="s">
        <v>92</v>
      </c>
      <c r="D40" s="1" t="s">
        <v>246</v>
      </c>
      <c r="E40" s="1" t="s">
        <v>247</v>
      </c>
      <c r="F40" s="1" t="str">
        <f>D40&amp;" "&amp;E40</f>
        <v>จักรพงษ์ ผลมะขาม</v>
      </c>
      <c r="G40" s="1" t="s">
        <v>248</v>
      </c>
      <c r="H40" s="1" t="s">
        <v>249</v>
      </c>
      <c r="I40" s="1">
        <v>10432003</v>
      </c>
      <c r="J40" s="1" t="s">
        <v>45</v>
      </c>
      <c r="K40" s="2">
        <v>44205</v>
      </c>
      <c r="L40" s="1" t="s">
        <v>66</v>
      </c>
      <c r="M40" s="1" t="s">
        <v>48</v>
      </c>
      <c r="N40" s="1" t="s">
        <v>48</v>
      </c>
      <c r="O40" s="1" t="s">
        <v>250</v>
      </c>
      <c r="P40" s="1" t="s">
        <v>250</v>
      </c>
      <c r="Q40" s="1">
        <v>10358486</v>
      </c>
      <c r="R40" s="1" t="s">
        <v>68</v>
      </c>
      <c r="S40" s="3" t="s">
        <v>51</v>
      </c>
      <c r="T40" s="1" t="s">
        <v>52</v>
      </c>
      <c r="U40" s="1" t="s">
        <v>53</v>
      </c>
      <c r="V40" s="1" t="s">
        <v>54</v>
      </c>
      <c r="W40" s="1" t="s">
        <v>55</v>
      </c>
      <c r="X40" s="1">
        <v>1</v>
      </c>
      <c r="Y40" s="10" t="s">
        <v>56</v>
      </c>
      <c r="Z40" s="10"/>
      <c r="AA40" s="10"/>
      <c r="AB40" s="10" t="s">
        <v>146</v>
      </c>
      <c r="AC40" s="32" t="s">
        <v>84</v>
      </c>
      <c r="AD40" s="10"/>
      <c r="AE40" s="10"/>
      <c r="AF40" s="10" t="s">
        <v>227</v>
      </c>
      <c r="AG40" s="10"/>
      <c r="AH40" s="10"/>
      <c r="AO40" s="38">
        <v>0.79166666666666663</v>
      </c>
      <c r="AP40" s="38">
        <v>0.16666666666666666</v>
      </c>
    </row>
    <row r="41" spans="1:42" ht="14.25" customHeight="1">
      <c r="A41">
        <v>238</v>
      </c>
      <c r="B41" s="1">
        <v>10653683</v>
      </c>
      <c r="C41" s="1" t="s">
        <v>92</v>
      </c>
      <c r="D41" s="1" t="s">
        <v>251</v>
      </c>
      <c r="E41" s="1" t="s">
        <v>252</v>
      </c>
      <c r="F41" s="1" t="str">
        <f>D41&amp;" "&amp;E41</f>
        <v>กิตติพล บุญครุฑ</v>
      </c>
      <c r="G41" s="1" t="s">
        <v>253</v>
      </c>
      <c r="H41" s="1" t="s">
        <v>254</v>
      </c>
      <c r="I41" s="1">
        <v>10653683</v>
      </c>
      <c r="J41" s="1" t="s">
        <v>45</v>
      </c>
      <c r="K41" s="2">
        <v>45664</v>
      </c>
      <c r="L41" s="1" t="s">
        <v>66</v>
      </c>
      <c r="M41" s="1" t="s">
        <v>48</v>
      </c>
      <c r="N41" s="1" t="s">
        <v>48</v>
      </c>
      <c r="O41" s="1" t="s">
        <v>89</v>
      </c>
      <c r="P41" s="1" t="s">
        <v>89</v>
      </c>
      <c r="Q41" s="1">
        <v>10358486</v>
      </c>
      <c r="R41" s="1" t="s">
        <v>68</v>
      </c>
      <c r="S41" s="3" t="s">
        <v>51</v>
      </c>
      <c r="T41" s="1" t="s">
        <v>52</v>
      </c>
      <c r="U41" s="1" t="s">
        <v>53</v>
      </c>
      <c r="V41" s="1" t="s">
        <v>54</v>
      </c>
      <c r="W41" s="1" t="s">
        <v>55</v>
      </c>
      <c r="X41" s="1">
        <v>1</v>
      </c>
      <c r="Y41" s="10" t="s">
        <v>56</v>
      </c>
      <c r="Z41" s="10"/>
      <c r="AA41" s="10"/>
      <c r="AB41" s="10" t="s">
        <v>146</v>
      </c>
      <c r="AC41" s="32" t="s">
        <v>76</v>
      </c>
      <c r="AD41" s="10"/>
      <c r="AE41" s="10"/>
      <c r="AF41" s="10" t="s">
        <v>227</v>
      </c>
      <c r="AG41" s="10"/>
      <c r="AH41" s="10"/>
      <c r="AO41" s="38">
        <v>0.79166666666666663</v>
      </c>
      <c r="AP41" s="38">
        <v>0.16666666666666666</v>
      </c>
    </row>
    <row r="42" spans="1:42" ht="14.25" customHeight="1">
      <c r="A42">
        <v>362</v>
      </c>
      <c r="B42" s="1">
        <v>10680507</v>
      </c>
      <c r="C42" s="1" t="s">
        <v>39</v>
      </c>
      <c r="D42" s="1" t="s">
        <v>255</v>
      </c>
      <c r="E42" s="1" t="s">
        <v>256</v>
      </c>
      <c r="F42" s="1" t="str">
        <f>D42&amp;" "&amp;E42</f>
        <v>กนกวรรณ ไตรพรหม</v>
      </c>
      <c r="G42" s="1" t="s">
        <v>257</v>
      </c>
      <c r="H42" s="1" t="s">
        <v>258</v>
      </c>
      <c r="I42" s="1">
        <v>10680507</v>
      </c>
      <c r="J42" s="1" t="s">
        <v>45</v>
      </c>
      <c r="K42" s="1" t="s">
        <v>259</v>
      </c>
      <c r="L42" s="1" t="s">
        <v>66</v>
      </c>
      <c r="M42" s="1" t="s">
        <v>48</v>
      </c>
      <c r="N42" s="1" t="s">
        <v>98</v>
      </c>
      <c r="O42" s="1" t="s">
        <v>260</v>
      </c>
      <c r="P42" s="1" t="s">
        <v>100</v>
      </c>
      <c r="Q42" s="1">
        <v>10358479</v>
      </c>
      <c r="R42" s="1" t="s">
        <v>261</v>
      </c>
      <c r="S42" s="3" t="s">
        <v>51</v>
      </c>
      <c r="T42" s="1" t="s">
        <v>52</v>
      </c>
      <c r="U42" s="1" t="s">
        <v>53</v>
      </c>
      <c r="V42" s="1" t="s">
        <v>54</v>
      </c>
      <c r="W42" s="1" t="s">
        <v>55</v>
      </c>
      <c r="X42" s="1">
        <v>1</v>
      </c>
      <c r="Y42" s="10" t="s">
        <v>56</v>
      </c>
      <c r="Z42" s="10"/>
      <c r="AA42" s="10"/>
      <c r="AB42" s="10" t="s">
        <v>146</v>
      </c>
      <c r="AC42" s="33" t="s">
        <v>69</v>
      </c>
      <c r="AD42" s="10"/>
      <c r="AE42" s="10"/>
      <c r="AF42" s="10" t="s">
        <v>227</v>
      </c>
      <c r="AG42" s="10"/>
      <c r="AH42" s="10"/>
      <c r="AO42" s="38">
        <v>0.79166666666666663</v>
      </c>
      <c r="AP42" s="38">
        <v>0.16666666666666666</v>
      </c>
    </row>
    <row r="43" spans="1:42" ht="14.25" customHeight="1">
      <c r="A43">
        <v>182</v>
      </c>
      <c r="B43" s="1">
        <v>10606797</v>
      </c>
      <c r="C43" s="1" t="s">
        <v>92</v>
      </c>
      <c r="D43" s="1" t="s">
        <v>262</v>
      </c>
      <c r="E43" s="1" t="s">
        <v>263</v>
      </c>
      <c r="F43" s="1" t="str">
        <f>D43&amp;" "&amp;E43</f>
        <v>สุทธิพร นุชพิเรนทร์</v>
      </c>
      <c r="G43" s="1" t="s">
        <v>264</v>
      </c>
      <c r="H43" s="1" t="s">
        <v>265</v>
      </c>
      <c r="I43" s="1">
        <v>10606797</v>
      </c>
      <c r="J43" s="1" t="s">
        <v>45</v>
      </c>
      <c r="K43" s="2">
        <v>45327</v>
      </c>
      <c r="L43" s="1" t="s">
        <v>66</v>
      </c>
      <c r="M43" s="1" t="s">
        <v>48</v>
      </c>
      <c r="N43" s="1" t="s">
        <v>48</v>
      </c>
      <c r="O43" s="1" t="s">
        <v>232</v>
      </c>
      <c r="P43" s="1" t="s">
        <v>232</v>
      </c>
      <c r="Q43" s="1">
        <v>10358479</v>
      </c>
      <c r="R43" s="1" t="s">
        <v>261</v>
      </c>
      <c r="S43" s="3" t="s">
        <v>51</v>
      </c>
      <c r="T43" s="1" t="s">
        <v>52</v>
      </c>
      <c r="U43" s="1" t="s">
        <v>53</v>
      </c>
      <c r="V43" s="1" t="s">
        <v>54</v>
      </c>
      <c r="W43" s="1" t="s">
        <v>55</v>
      </c>
      <c r="X43" s="1">
        <v>1</v>
      </c>
      <c r="Y43" s="10" t="s">
        <v>56</v>
      </c>
      <c r="Z43" s="10"/>
      <c r="AA43" s="10"/>
      <c r="AB43" s="10" t="s">
        <v>266</v>
      </c>
      <c r="AC43" s="32" t="s">
        <v>58</v>
      </c>
      <c r="AD43" s="10"/>
      <c r="AE43" s="10"/>
      <c r="AF43" s="10" t="s">
        <v>59</v>
      </c>
      <c r="AG43" s="10"/>
      <c r="AH43" s="10"/>
      <c r="AI43" s="38">
        <v>0.54166666666666663</v>
      </c>
      <c r="AJ43" s="38">
        <v>0.91666666666666663</v>
      </c>
      <c r="AK43" s="24">
        <v>4.1666666666666664E-2</v>
      </c>
    </row>
    <row r="44" spans="1:42" ht="14.25" customHeight="1">
      <c r="A44">
        <v>64</v>
      </c>
      <c r="B44" s="1">
        <v>10412343</v>
      </c>
      <c r="C44" s="1" t="s">
        <v>39</v>
      </c>
      <c r="D44" s="1" t="s">
        <v>267</v>
      </c>
      <c r="E44" s="1" t="s">
        <v>268</v>
      </c>
      <c r="F44" s="1" t="str">
        <f>D44&amp;" "&amp;E44</f>
        <v>สาวิตรี สุธาตุ</v>
      </c>
      <c r="G44" s="1" t="s">
        <v>269</v>
      </c>
      <c r="H44" s="1" t="s">
        <v>270</v>
      </c>
      <c r="I44" s="1">
        <v>10412343</v>
      </c>
      <c r="J44" s="1" t="s">
        <v>45</v>
      </c>
      <c r="K44" s="2">
        <v>43872</v>
      </c>
      <c r="L44" s="1" t="s">
        <v>66</v>
      </c>
      <c r="M44" s="1" t="s">
        <v>48</v>
      </c>
      <c r="N44" s="1" t="s">
        <v>48</v>
      </c>
      <c r="O44" s="2">
        <v>44199</v>
      </c>
      <c r="P44" s="2">
        <v>44199</v>
      </c>
      <c r="Q44" s="1">
        <v>10358479</v>
      </c>
      <c r="R44" s="1" t="s">
        <v>261</v>
      </c>
      <c r="S44" s="3" t="s">
        <v>51</v>
      </c>
      <c r="T44" s="1" t="s">
        <v>52</v>
      </c>
      <c r="U44" s="1" t="s">
        <v>53</v>
      </c>
      <c r="V44" s="1" t="s">
        <v>54</v>
      </c>
      <c r="W44" s="1" t="s">
        <v>55</v>
      </c>
      <c r="X44" s="1">
        <v>1</v>
      </c>
      <c r="Y44" s="10" t="s">
        <v>56</v>
      </c>
      <c r="Z44" s="10"/>
      <c r="AA44" s="10"/>
      <c r="AB44" s="10" t="s">
        <v>266</v>
      </c>
      <c r="AC44" s="32" t="s">
        <v>69</v>
      </c>
      <c r="AD44" s="10"/>
      <c r="AE44" s="10"/>
      <c r="AF44" s="10" t="s">
        <v>59</v>
      </c>
      <c r="AG44" s="10"/>
      <c r="AH44" s="10"/>
      <c r="AI44" s="38">
        <v>0.54166666666666663</v>
      </c>
      <c r="AJ44" s="38">
        <v>0.91666666666666663</v>
      </c>
      <c r="AK44" s="24">
        <v>4.1666666666666664E-2</v>
      </c>
    </row>
    <row r="45" spans="1:42" ht="14.25" customHeight="1">
      <c r="A45">
        <v>203</v>
      </c>
      <c r="B45" s="1">
        <v>10631676</v>
      </c>
      <c r="C45" s="1" t="s">
        <v>92</v>
      </c>
      <c r="D45" s="1" t="s">
        <v>271</v>
      </c>
      <c r="E45" s="1" t="s">
        <v>272</v>
      </c>
      <c r="F45" s="1" t="str">
        <f>D45&amp;" "&amp;E45</f>
        <v>ศรัณย์ กองศรี</v>
      </c>
      <c r="G45" s="1" t="s">
        <v>273</v>
      </c>
      <c r="H45" s="1" t="s">
        <v>274</v>
      </c>
      <c r="I45" s="1">
        <v>10631676</v>
      </c>
      <c r="J45" s="1" t="s">
        <v>45</v>
      </c>
      <c r="K45" s="1" t="s">
        <v>275</v>
      </c>
      <c r="L45" s="1" t="s">
        <v>66</v>
      </c>
      <c r="M45" s="1" t="s">
        <v>48</v>
      </c>
      <c r="N45" s="1" t="s">
        <v>48</v>
      </c>
      <c r="O45" s="1" t="s">
        <v>276</v>
      </c>
      <c r="P45" s="1" t="s">
        <v>276</v>
      </c>
      <c r="Q45" s="1">
        <v>10358479</v>
      </c>
      <c r="R45" s="1" t="s">
        <v>261</v>
      </c>
      <c r="S45" s="3" t="s">
        <v>51</v>
      </c>
      <c r="T45" s="1" t="s">
        <v>52</v>
      </c>
      <c r="U45" s="1" t="s">
        <v>53</v>
      </c>
      <c r="V45" s="1" t="s">
        <v>54</v>
      </c>
      <c r="W45" s="1" t="s">
        <v>55</v>
      </c>
      <c r="X45" s="1">
        <v>1</v>
      </c>
      <c r="Y45" s="10" t="s">
        <v>56</v>
      </c>
      <c r="Z45" s="10"/>
      <c r="AA45" s="10"/>
      <c r="AB45" s="10" t="s">
        <v>266</v>
      </c>
      <c r="AC45" s="32" t="s">
        <v>76</v>
      </c>
      <c r="AD45" s="10"/>
      <c r="AE45" s="10"/>
      <c r="AF45" s="10" t="s">
        <v>59</v>
      </c>
      <c r="AG45" s="10"/>
      <c r="AH45" s="10"/>
      <c r="AI45" s="38">
        <v>0.54166666666666663</v>
      </c>
      <c r="AJ45" s="38">
        <v>0.91666666666666663</v>
      </c>
      <c r="AK45" s="24">
        <v>4.1666666666666664E-2</v>
      </c>
    </row>
    <row r="46" spans="1:42" ht="14.25" customHeight="1">
      <c r="A46">
        <v>224</v>
      </c>
      <c r="B46" s="1">
        <v>10647098</v>
      </c>
      <c r="C46" s="1" t="s">
        <v>92</v>
      </c>
      <c r="D46" s="1" t="s">
        <v>277</v>
      </c>
      <c r="E46" s="1" t="s">
        <v>278</v>
      </c>
      <c r="F46" s="1" t="str">
        <f>D46&amp;" "&amp;E46</f>
        <v>วศร นพรัตน์</v>
      </c>
      <c r="G46" s="1" t="s">
        <v>279</v>
      </c>
      <c r="H46" s="1" t="s">
        <v>280</v>
      </c>
      <c r="I46" s="1">
        <v>10647098</v>
      </c>
      <c r="J46" s="1" t="s">
        <v>45</v>
      </c>
      <c r="K46" s="2">
        <v>45874</v>
      </c>
      <c r="L46" s="1" t="s">
        <v>66</v>
      </c>
      <c r="M46" s="1" t="s">
        <v>48</v>
      </c>
      <c r="N46" s="1" t="s">
        <v>48</v>
      </c>
      <c r="O46" s="2">
        <v>45756</v>
      </c>
      <c r="P46" s="2">
        <v>45756</v>
      </c>
      <c r="Q46" s="1">
        <v>10358479</v>
      </c>
      <c r="R46" s="1" t="s">
        <v>261</v>
      </c>
      <c r="S46" s="3" t="s">
        <v>51</v>
      </c>
      <c r="T46" s="1" t="s">
        <v>52</v>
      </c>
      <c r="U46" s="1" t="s">
        <v>53</v>
      </c>
      <c r="V46" s="1" t="s">
        <v>54</v>
      </c>
      <c r="W46" s="1" t="s">
        <v>55</v>
      </c>
      <c r="X46" s="1">
        <v>1</v>
      </c>
      <c r="Y46" s="10" t="s">
        <v>56</v>
      </c>
      <c r="Z46" s="10"/>
      <c r="AA46" s="10"/>
      <c r="AB46" s="10" t="s">
        <v>266</v>
      </c>
      <c r="AC46" s="32" t="s">
        <v>138</v>
      </c>
      <c r="AD46" s="10"/>
      <c r="AE46" s="10"/>
      <c r="AF46" s="10" t="s">
        <v>59</v>
      </c>
      <c r="AG46" s="10"/>
      <c r="AH46" s="10"/>
      <c r="AI46" s="38">
        <v>0.54166666666666663</v>
      </c>
      <c r="AJ46" s="38">
        <v>0.91666666666666663</v>
      </c>
      <c r="AK46" s="24">
        <v>4.1666666666666664E-2</v>
      </c>
    </row>
    <row r="47" spans="1:42" ht="14.25" customHeight="1">
      <c r="A47">
        <v>257</v>
      </c>
      <c r="B47" s="1">
        <v>10658278</v>
      </c>
      <c r="C47" s="1" t="s">
        <v>92</v>
      </c>
      <c r="D47" s="1" t="s">
        <v>281</v>
      </c>
      <c r="E47" s="1" t="s">
        <v>282</v>
      </c>
      <c r="F47" s="1" t="str">
        <f>D47&amp;" "&amp;E47</f>
        <v>ฤทธิไกร เนตรสว่าง</v>
      </c>
      <c r="G47" s="1" t="s">
        <v>283</v>
      </c>
      <c r="H47" s="1" t="s">
        <v>284</v>
      </c>
      <c r="I47" s="1">
        <v>10658278</v>
      </c>
      <c r="J47" s="1" t="s">
        <v>45</v>
      </c>
      <c r="K47" s="2">
        <v>45665</v>
      </c>
      <c r="L47" s="1" t="s">
        <v>66</v>
      </c>
      <c r="M47" s="1" t="s">
        <v>48</v>
      </c>
      <c r="N47" s="1" t="s">
        <v>48</v>
      </c>
      <c r="O47" s="1" t="s">
        <v>107</v>
      </c>
      <c r="P47" s="1" t="s">
        <v>107</v>
      </c>
      <c r="Q47" s="1">
        <v>10358479</v>
      </c>
      <c r="R47" s="1" t="s">
        <v>261</v>
      </c>
      <c r="S47" s="3" t="s">
        <v>51</v>
      </c>
      <c r="T47" s="1" t="s">
        <v>52</v>
      </c>
      <c r="U47" s="1" t="s">
        <v>53</v>
      </c>
      <c r="V47" s="1" t="s">
        <v>54</v>
      </c>
      <c r="W47" s="1" t="s">
        <v>55</v>
      </c>
      <c r="X47" s="1">
        <v>1</v>
      </c>
      <c r="Y47" s="10" t="s">
        <v>56</v>
      </c>
      <c r="Z47" s="10"/>
      <c r="AA47" s="10"/>
      <c r="AB47" s="10" t="s">
        <v>266</v>
      </c>
      <c r="AC47" s="32" t="s">
        <v>84</v>
      </c>
      <c r="AD47" s="10"/>
      <c r="AE47" s="10"/>
      <c r="AF47" s="10" t="s">
        <v>59</v>
      </c>
      <c r="AG47" s="10"/>
      <c r="AH47" s="10"/>
      <c r="AI47" s="38">
        <v>0.54166666666666663</v>
      </c>
      <c r="AJ47" s="38">
        <v>0.91666666666666663</v>
      </c>
      <c r="AK47" s="24">
        <v>4.1666666666666664E-2</v>
      </c>
    </row>
    <row r="48" spans="1:42" ht="14.25" customHeight="1">
      <c r="A48">
        <v>68</v>
      </c>
      <c r="B48" s="1">
        <v>10416370</v>
      </c>
      <c r="C48" s="1" t="s">
        <v>92</v>
      </c>
      <c r="D48" s="1" t="s">
        <v>285</v>
      </c>
      <c r="E48" s="1" t="s">
        <v>86</v>
      </c>
      <c r="F48" s="1" t="str">
        <f>D48&amp;" "&amp;E48</f>
        <v>มนตรี วันศิริ</v>
      </c>
      <c r="G48" s="1" t="s">
        <v>286</v>
      </c>
      <c r="H48" s="1" t="s">
        <v>287</v>
      </c>
      <c r="I48" s="1">
        <v>10416370</v>
      </c>
      <c r="J48" s="1" t="s">
        <v>45</v>
      </c>
      <c r="K48" s="2">
        <v>44256</v>
      </c>
      <c r="L48" s="1" t="s">
        <v>66</v>
      </c>
      <c r="M48" s="1" t="s">
        <v>48</v>
      </c>
      <c r="N48" s="1" t="s">
        <v>48</v>
      </c>
      <c r="O48" s="2">
        <v>44232</v>
      </c>
      <c r="P48" s="2">
        <v>44232</v>
      </c>
      <c r="Q48" s="1">
        <v>10358479</v>
      </c>
      <c r="R48" s="1" t="s">
        <v>261</v>
      </c>
      <c r="S48" s="3" t="s">
        <v>51</v>
      </c>
      <c r="T48" s="1" t="s">
        <v>52</v>
      </c>
      <c r="U48" s="1" t="s">
        <v>53</v>
      </c>
      <c r="V48" s="1" t="s">
        <v>54</v>
      </c>
      <c r="W48" s="1" t="s">
        <v>55</v>
      </c>
      <c r="X48" s="1">
        <v>1</v>
      </c>
      <c r="Y48" s="10" t="s">
        <v>56</v>
      </c>
      <c r="Z48" s="10"/>
      <c r="AA48" s="10"/>
      <c r="AB48" s="10" t="s">
        <v>266</v>
      </c>
      <c r="AC48" s="32" t="s">
        <v>91</v>
      </c>
      <c r="AD48" s="10"/>
      <c r="AE48" s="10"/>
      <c r="AF48" s="10" t="s">
        <v>59</v>
      </c>
      <c r="AG48" s="10"/>
      <c r="AH48" s="10"/>
      <c r="AI48" s="38">
        <v>0.54166666666666663</v>
      </c>
      <c r="AJ48" s="38">
        <v>0.91666666666666663</v>
      </c>
      <c r="AK48" s="24">
        <v>4.1666666666666664E-2</v>
      </c>
    </row>
    <row r="49" spans="1:40" ht="14.25" customHeight="1">
      <c r="A49">
        <v>115</v>
      </c>
      <c r="B49" s="1">
        <v>10529533</v>
      </c>
      <c r="C49" s="1" t="s">
        <v>92</v>
      </c>
      <c r="D49" s="1" t="s">
        <v>288</v>
      </c>
      <c r="E49" s="1" t="s">
        <v>86</v>
      </c>
      <c r="F49" s="1" t="str">
        <f>D49&amp;" "&amp;E49</f>
        <v>ธีรยุทธ วันศิริ</v>
      </c>
      <c r="G49" s="1" t="s">
        <v>289</v>
      </c>
      <c r="H49" s="1" t="s">
        <v>287</v>
      </c>
      <c r="I49" s="1">
        <v>10529533</v>
      </c>
      <c r="J49" s="1" t="s">
        <v>45</v>
      </c>
      <c r="K49" s="2">
        <v>44721</v>
      </c>
      <c r="L49" s="1" t="s">
        <v>66</v>
      </c>
      <c r="M49" s="1" t="s">
        <v>48</v>
      </c>
      <c r="N49" s="1" t="s">
        <v>48</v>
      </c>
      <c r="O49" s="2">
        <v>44986</v>
      </c>
      <c r="P49" s="2">
        <v>44986</v>
      </c>
      <c r="Q49" s="1">
        <v>10358479</v>
      </c>
      <c r="R49" s="1" t="s">
        <v>261</v>
      </c>
      <c r="S49" s="3" t="s">
        <v>51</v>
      </c>
      <c r="T49" s="1" t="s">
        <v>52</v>
      </c>
      <c r="U49" s="1" t="s">
        <v>53</v>
      </c>
      <c r="V49" s="1" t="s">
        <v>54</v>
      </c>
      <c r="W49" s="1" t="s">
        <v>55</v>
      </c>
      <c r="X49" s="1">
        <v>1</v>
      </c>
      <c r="Y49" s="10" t="s">
        <v>56</v>
      </c>
      <c r="Z49" s="10"/>
      <c r="AA49" s="10"/>
      <c r="AB49" s="10" t="s">
        <v>266</v>
      </c>
      <c r="AC49" s="32" t="s">
        <v>212</v>
      </c>
      <c r="AD49" s="10"/>
      <c r="AE49" s="10"/>
      <c r="AF49" s="10" t="s">
        <v>59</v>
      </c>
      <c r="AG49" s="10"/>
      <c r="AH49" s="10"/>
      <c r="AI49" s="38">
        <v>0.54166666666666663</v>
      </c>
      <c r="AJ49" s="38">
        <v>0.91666666666666663</v>
      </c>
      <c r="AK49" s="24">
        <v>4.1666666666666664E-2</v>
      </c>
    </row>
    <row r="50" spans="1:40" ht="14.25" customHeight="1">
      <c r="A50">
        <v>52</v>
      </c>
      <c r="B50" s="1">
        <v>10396639</v>
      </c>
      <c r="C50" s="1" t="s">
        <v>39</v>
      </c>
      <c r="D50" s="1" t="s">
        <v>290</v>
      </c>
      <c r="E50" s="1" t="s">
        <v>291</v>
      </c>
      <c r="F50" s="1" t="str">
        <f>D50&amp;" "&amp;E50</f>
        <v>อนัญญา ปทุมสูตร</v>
      </c>
      <c r="G50" s="1" t="s">
        <v>292</v>
      </c>
      <c r="H50" s="1" t="s">
        <v>293</v>
      </c>
      <c r="I50" s="1" t="s">
        <v>294</v>
      </c>
      <c r="J50" s="1" t="s">
        <v>45</v>
      </c>
      <c r="K50" s="2">
        <v>43864</v>
      </c>
      <c r="L50" s="1" t="s">
        <v>47</v>
      </c>
      <c r="M50" s="1" t="s">
        <v>48</v>
      </c>
      <c r="N50" s="1" t="s">
        <v>48</v>
      </c>
      <c r="O50" s="1" t="s">
        <v>295</v>
      </c>
      <c r="P50" s="1" t="s">
        <v>295</v>
      </c>
      <c r="Q50" s="1">
        <v>10358471</v>
      </c>
      <c r="R50" s="1" t="s">
        <v>296</v>
      </c>
      <c r="S50" s="3" t="s">
        <v>51</v>
      </c>
      <c r="T50" s="1" t="s">
        <v>52</v>
      </c>
      <c r="U50" s="1" t="s">
        <v>53</v>
      </c>
      <c r="V50" s="1" t="s">
        <v>54</v>
      </c>
      <c r="W50" s="1" t="s">
        <v>55</v>
      </c>
      <c r="X50" s="1">
        <v>1</v>
      </c>
      <c r="Y50" s="10" t="s">
        <v>56</v>
      </c>
      <c r="Z50" s="10"/>
      <c r="AA50" s="10"/>
      <c r="AB50" s="10" t="s">
        <v>266</v>
      </c>
      <c r="AC50" s="32" t="s">
        <v>212</v>
      </c>
      <c r="AD50" s="10"/>
      <c r="AE50" s="10"/>
      <c r="AF50" s="10" t="s">
        <v>77</v>
      </c>
      <c r="AG50" s="10"/>
      <c r="AH50" s="10"/>
      <c r="AL50" s="38">
        <v>0.79166666666666663</v>
      </c>
      <c r="AM50" s="38">
        <v>0.16666666666666666</v>
      </c>
      <c r="AN50" s="24">
        <v>0.33333333333333331</v>
      </c>
    </row>
    <row r="51" spans="1:40" ht="14.25" customHeight="1">
      <c r="A51">
        <v>295</v>
      </c>
      <c r="B51" s="1">
        <v>10664195</v>
      </c>
      <c r="C51" s="1" t="s">
        <v>92</v>
      </c>
      <c r="D51" s="1" t="s">
        <v>147</v>
      </c>
      <c r="E51" s="1" t="s">
        <v>297</v>
      </c>
      <c r="F51" s="1" t="str">
        <f>D51&amp;" "&amp;E51</f>
        <v>อดิศักดิ์ แก้วสีนอ</v>
      </c>
      <c r="G51" s="1" t="s">
        <v>149</v>
      </c>
      <c r="H51" s="1" t="s">
        <v>298</v>
      </c>
      <c r="I51" s="1">
        <v>10664195</v>
      </c>
      <c r="J51" s="1" t="s">
        <v>45</v>
      </c>
      <c r="K51" s="2">
        <v>45878</v>
      </c>
      <c r="L51" s="1" t="s">
        <v>66</v>
      </c>
      <c r="M51" s="1" t="s">
        <v>48</v>
      </c>
      <c r="N51" s="1" t="s">
        <v>48</v>
      </c>
      <c r="O51" s="2">
        <v>46143</v>
      </c>
      <c r="P51" s="2">
        <v>46143</v>
      </c>
      <c r="Q51" s="1">
        <v>10358474</v>
      </c>
      <c r="R51" s="1" t="s">
        <v>299</v>
      </c>
      <c r="S51" s="3" t="s">
        <v>51</v>
      </c>
      <c r="T51" s="1" t="s">
        <v>52</v>
      </c>
      <c r="U51" s="1" t="s">
        <v>53</v>
      </c>
      <c r="V51" s="1" t="s">
        <v>54</v>
      </c>
      <c r="W51" s="1" t="s">
        <v>55</v>
      </c>
      <c r="X51" s="1">
        <v>1</v>
      </c>
      <c r="Y51" s="10" t="s">
        <v>56</v>
      </c>
      <c r="Z51" s="10"/>
      <c r="AA51" s="10"/>
      <c r="AB51" s="10" t="s">
        <v>266</v>
      </c>
      <c r="AC51" s="32" t="s">
        <v>76</v>
      </c>
      <c r="AD51" s="10"/>
      <c r="AE51" s="10"/>
      <c r="AF51" s="10" t="s">
        <v>77</v>
      </c>
      <c r="AG51" s="10"/>
      <c r="AH51" s="10"/>
      <c r="AL51" s="38">
        <v>0.79166666666666663</v>
      </c>
      <c r="AM51" s="38">
        <v>0.16666666666666666</v>
      </c>
      <c r="AN51" s="24">
        <v>0.33333333333333331</v>
      </c>
    </row>
    <row r="52" spans="1:40" ht="14.25" customHeight="1">
      <c r="A52">
        <v>93</v>
      </c>
      <c r="B52" s="1">
        <v>10501486</v>
      </c>
      <c r="C52" s="1" t="s">
        <v>92</v>
      </c>
      <c r="D52" s="1" t="s">
        <v>300</v>
      </c>
      <c r="E52" s="1" t="s">
        <v>301</v>
      </c>
      <c r="F52" s="1" t="str">
        <f>D52&amp;" "&amp;E52</f>
        <v>สุเมษา มั่นศรี</v>
      </c>
      <c r="G52" s="1" t="s">
        <v>302</v>
      </c>
      <c r="H52" s="1" t="s">
        <v>303</v>
      </c>
      <c r="I52" s="1">
        <v>10501486</v>
      </c>
      <c r="J52" s="1" t="s">
        <v>45</v>
      </c>
      <c r="K52" s="1" t="s">
        <v>304</v>
      </c>
      <c r="L52" s="1" t="s">
        <v>66</v>
      </c>
      <c r="M52" s="1" t="s">
        <v>48</v>
      </c>
      <c r="N52" s="1" t="s">
        <v>48</v>
      </c>
      <c r="O52" s="1" t="s">
        <v>305</v>
      </c>
      <c r="P52" s="1" t="s">
        <v>305</v>
      </c>
      <c r="Q52" s="1">
        <v>10358479</v>
      </c>
      <c r="R52" s="1" t="s">
        <v>261</v>
      </c>
      <c r="S52" s="3" t="s">
        <v>51</v>
      </c>
      <c r="T52" s="1" t="s">
        <v>52</v>
      </c>
      <c r="U52" s="1" t="s">
        <v>53</v>
      </c>
      <c r="V52" s="1" t="s">
        <v>54</v>
      </c>
      <c r="W52" s="1" t="s">
        <v>55</v>
      </c>
      <c r="X52" s="1">
        <v>1</v>
      </c>
      <c r="Y52" s="10" t="s">
        <v>56</v>
      </c>
      <c r="Z52" s="10"/>
      <c r="AA52" s="10"/>
      <c r="AB52" s="10" t="s">
        <v>266</v>
      </c>
      <c r="AC52" s="32" t="s">
        <v>84</v>
      </c>
      <c r="AD52" s="10"/>
      <c r="AE52" s="10"/>
      <c r="AF52" s="10" t="s">
        <v>77</v>
      </c>
      <c r="AG52" s="10"/>
      <c r="AH52" s="10"/>
      <c r="AL52" s="38">
        <v>0.79166666666666663</v>
      </c>
      <c r="AM52" s="38">
        <v>0.16666666666666666</v>
      </c>
      <c r="AN52" s="24">
        <v>0.33333333333333331</v>
      </c>
    </row>
    <row r="53" spans="1:40" ht="14.25" customHeight="1">
      <c r="A53">
        <v>91</v>
      </c>
      <c r="B53" s="1">
        <v>10500484</v>
      </c>
      <c r="C53" s="1" t="s">
        <v>92</v>
      </c>
      <c r="D53" s="1" t="s">
        <v>306</v>
      </c>
      <c r="E53" s="1" t="s">
        <v>307</v>
      </c>
      <c r="F53" s="1" t="str">
        <f>D53&amp;" "&amp;E53</f>
        <v>พิศาล ปัญญายงค์</v>
      </c>
      <c r="G53" s="1" t="s">
        <v>308</v>
      </c>
      <c r="H53" s="1" t="s">
        <v>309</v>
      </c>
      <c r="I53" s="1">
        <v>10500484</v>
      </c>
      <c r="J53" s="1" t="s">
        <v>45</v>
      </c>
      <c r="K53" s="2">
        <v>44450</v>
      </c>
      <c r="L53" s="1" t="s">
        <v>66</v>
      </c>
      <c r="M53" s="1" t="s">
        <v>48</v>
      </c>
      <c r="N53" s="1" t="s">
        <v>48</v>
      </c>
      <c r="O53" s="2">
        <v>44776</v>
      </c>
      <c r="P53" s="2">
        <v>44776</v>
      </c>
      <c r="Q53" s="1">
        <v>10358474</v>
      </c>
      <c r="R53" s="1" t="s">
        <v>299</v>
      </c>
      <c r="S53" s="3" t="s">
        <v>51</v>
      </c>
      <c r="T53" s="1" t="s">
        <v>52</v>
      </c>
      <c r="U53" s="1" t="s">
        <v>53</v>
      </c>
      <c r="V53" s="1" t="s">
        <v>54</v>
      </c>
      <c r="W53" s="1" t="s">
        <v>55</v>
      </c>
      <c r="X53" s="1">
        <v>1</v>
      </c>
      <c r="Y53" s="10" t="s">
        <v>56</v>
      </c>
      <c r="Z53" s="10"/>
      <c r="AA53" s="10"/>
      <c r="AB53" s="10" t="s">
        <v>266</v>
      </c>
      <c r="AC53" s="32" t="s">
        <v>138</v>
      </c>
      <c r="AD53" s="10"/>
      <c r="AE53" s="10"/>
      <c r="AF53" s="10" t="s">
        <v>77</v>
      </c>
      <c r="AG53" s="10"/>
      <c r="AH53" s="10"/>
      <c r="AL53" s="38">
        <v>0.79166666666666663</v>
      </c>
      <c r="AM53" s="38">
        <v>0.16666666666666666</v>
      </c>
      <c r="AN53" s="24">
        <v>0.33333333333333331</v>
      </c>
    </row>
    <row r="54" spans="1:40" ht="14.25" customHeight="1">
      <c r="B54">
        <v>10518461</v>
      </c>
      <c r="D54" t="s">
        <v>310</v>
      </c>
      <c r="E54" t="s">
        <v>311</v>
      </c>
      <c r="S54" s="3" t="s">
        <v>51</v>
      </c>
      <c r="AA54" s="10"/>
      <c r="AB54" s="10" t="s">
        <v>266</v>
      </c>
      <c r="AC54" s="33" t="s">
        <v>76</v>
      </c>
      <c r="AF54" s="10" t="s">
        <v>77</v>
      </c>
      <c r="AL54" s="38">
        <v>0.79166666666666663</v>
      </c>
      <c r="AM54" s="38">
        <v>0.16666666666666666</v>
      </c>
      <c r="AN54" s="24">
        <v>0.33333333333333331</v>
      </c>
    </row>
    <row r="55" spans="1:40" ht="14.25" customHeight="1">
      <c r="A55">
        <v>135</v>
      </c>
      <c r="B55" s="1">
        <v>10548715</v>
      </c>
      <c r="C55" s="1" t="s">
        <v>92</v>
      </c>
      <c r="D55" s="1" t="s">
        <v>312</v>
      </c>
      <c r="E55" s="1" t="s">
        <v>313</v>
      </c>
      <c r="F55" s="1" t="str">
        <f>D55&amp;" "&amp;E55</f>
        <v>นิพัฒน์ จรดล</v>
      </c>
      <c r="G55" s="1" t="s">
        <v>314</v>
      </c>
      <c r="H55" s="1" t="s">
        <v>315</v>
      </c>
      <c r="I55" s="1">
        <v>10548715</v>
      </c>
      <c r="J55" s="1" t="s">
        <v>45</v>
      </c>
      <c r="K55" s="1" t="s">
        <v>316</v>
      </c>
      <c r="L55" s="1" t="s">
        <v>66</v>
      </c>
      <c r="M55" s="1" t="s">
        <v>48</v>
      </c>
      <c r="N55" s="1" t="s">
        <v>48</v>
      </c>
      <c r="O55" s="1" t="s">
        <v>317</v>
      </c>
      <c r="P55" s="1" t="s">
        <v>317</v>
      </c>
      <c r="Q55" s="1">
        <v>10358479</v>
      </c>
      <c r="R55" s="1" t="s">
        <v>261</v>
      </c>
      <c r="S55" s="3" t="s">
        <v>51</v>
      </c>
      <c r="T55" s="1" t="s">
        <v>52</v>
      </c>
      <c r="U55" s="1" t="s">
        <v>53</v>
      </c>
      <c r="V55" s="1" t="s">
        <v>54</v>
      </c>
      <c r="W55" s="1" t="s">
        <v>55</v>
      </c>
      <c r="X55" s="1">
        <v>1</v>
      </c>
      <c r="Y55" s="10" t="s">
        <v>56</v>
      </c>
      <c r="Z55" s="10"/>
      <c r="AA55" s="10"/>
      <c r="AB55" s="10" t="s">
        <v>266</v>
      </c>
      <c r="AC55" s="32" t="s">
        <v>58</v>
      </c>
      <c r="AD55" s="10"/>
      <c r="AE55" s="10"/>
      <c r="AF55" s="10" t="s">
        <v>77</v>
      </c>
      <c r="AG55" s="10"/>
      <c r="AH55" s="10"/>
      <c r="AL55" s="38">
        <v>0.79166666666666663</v>
      </c>
      <c r="AM55" s="38">
        <v>0.16666666666666666</v>
      </c>
      <c r="AN55" s="24">
        <v>0.33333333333333331</v>
      </c>
    </row>
    <row r="56" spans="1:40" ht="14.25" customHeight="1">
      <c r="A56">
        <v>129</v>
      </c>
      <c r="B56" s="1">
        <v>10545010</v>
      </c>
      <c r="C56" s="1" t="s">
        <v>92</v>
      </c>
      <c r="D56" s="1" t="s">
        <v>318</v>
      </c>
      <c r="E56" s="1" t="s">
        <v>319</v>
      </c>
      <c r="F56" s="1" t="str">
        <f>D56&amp;" "&amp;E56</f>
        <v>จักรภัทร ชำนาญปืน</v>
      </c>
      <c r="G56" s="1" t="s">
        <v>320</v>
      </c>
      <c r="H56" s="1" t="s">
        <v>321</v>
      </c>
      <c r="I56" s="1">
        <v>10545010</v>
      </c>
      <c r="J56" s="1" t="s">
        <v>45</v>
      </c>
      <c r="K56" s="1" t="s">
        <v>219</v>
      </c>
      <c r="L56" s="1" t="s">
        <v>66</v>
      </c>
      <c r="M56" s="1" t="s">
        <v>48</v>
      </c>
      <c r="N56" s="1" t="s">
        <v>48</v>
      </c>
      <c r="O56" s="1" t="s">
        <v>220</v>
      </c>
      <c r="P56" s="1" t="s">
        <v>220</v>
      </c>
      <c r="Q56" s="1">
        <v>10358479</v>
      </c>
      <c r="R56" s="1" t="s">
        <v>261</v>
      </c>
      <c r="S56" s="3" t="s">
        <v>51</v>
      </c>
      <c r="T56" s="1" t="s">
        <v>52</v>
      </c>
      <c r="U56" s="1" t="s">
        <v>53</v>
      </c>
      <c r="V56" s="1" t="s">
        <v>54</v>
      </c>
      <c r="W56" s="1" t="s">
        <v>55</v>
      </c>
      <c r="X56" s="1">
        <v>1</v>
      </c>
      <c r="Y56" s="10" t="s">
        <v>56</v>
      </c>
      <c r="Z56" s="10"/>
      <c r="AA56" s="10"/>
      <c r="AB56" s="10" t="s">
        <v>266</v>
      </c>
      <c r="AC56" s="32" t="s">
        <v>69</v>
      </c>
      <c r="AD56" s="10"/>
      <c r="AE56" s="10"/>
      <c r="AF56" s="10" t="s">
        <v>77</v>
      </c>
      <c r="AG56" s="10"/>
      <c r="AH56" s="10"/>
      <c r="AL56" s="38">
        <v>0.79166666666666663</v>
      </c>
      <c r="AM56" s="38">
        <v>0.16666666666666666</v>
      </c>
      <c r="AN56" s="24">
        <v>0.33333333333333331</v>
      </c>
    </row>
    <row r="57" spans="1:40" ht="14.25" customHeight="1">
      <c r="B57">
        <v>10625426</v>
      </c>
      <c r="D57" t="s">
        <v>322</v>
      </c>
      <c r="E57" t="s">
        <v>323</v>
      </c>
      <c r="S57" s="3" t="s">
        <v>51</v>
      </c>
      <c r="AA57" s="10"/>
      <c r="AB57" s="10" t="s">
        <v>324</v>
      </c>
      <c r="AC57" s="33" t="s">
        <v>91</v>
      </c>
      <c r="AF57" s="10" t="s">
        <v>59</v>
      </c>
      <c r="AI57" s="38">
        <v>0.29166666666666669</v>
      </c>
      <c r="AJ57" s="38">
        <v>0.66666666666666663</v>
      </c>
      <c r="AK57" s="24">
        <v>0.83333333333333337</v>
      </c>
    </row>
    <row r="58" spans="1:40" ht="14.25" customHeight="1">
      <c r="A58">
        <v>139</v>
      </c>
      <c r="B58" s="1">
        <v>10556204</v>
      </c>
      <c r="C58" s="1" t="s">
        <v>92</v>
      </c>
      <c r="D58" s="1" t="s">
        <v>325</v>
      </c>
      <c r="E58" s="1" t="s">
        <v>326</v>
      </c>
      <c r="F58" s="1" t="str">
        <f>D58&amp;" "&amp;E58</f>
        <v>สุรศักดิ์ สุ่มเงิน</v>
      </c>
      <c r="G58" s="1" t="s">
        <v>327</v>
      </c>
      <c r="H58" s="1" t="s">
        <v>328</v>
      </c>
      <c r="I58" s="1">
        <v>10556204</v>
      </c>
      <c r="J58" s="1" t="s">
        <v>45</v>
      </c>
      <c r="K58" s="1" t="s">
        <v>130</v>
      </c>
      <c r="L58" s="1" t="s">
        <v>66</v>
      </c>
      <c r="M58" s="1" t="s">
        <v>48</v>
      </c>
      <c r="N58" s="1" t="s">
        <v>48</v>
      </c>
      <c r="O58" s="2">
        <v>45269</v>
      </c>
      <c r="P58" s="2">
        <v>45269</v>
      </c>
      <c r="Q58" s="1">
        <v>10358474</v>
      </c>
      <c r="R58" s="1" t="s">
        <v>299</v>
      </c>
      <c r="S58" s="3" t="s">
        <v>51</v>
      </c>
      <c r="T58" s="1" t="s">
        <v>52</v>
      </c>
      <c r="U58" s="1" t="s">
        <v>53</v>
      </c>
      <c r="V58" s="1" t="s">
        <v>54</v>
      </c>
      <c r="W58" s="1" t="s">
        <v>55</v>
      </c>
      <c r="X58" s="1">
        <v>1</v>
      </c>
      <c r="Y58" s="10" t="s">
        <v>56</v>
      </c>
      <c r="Z58" s="10"/>
      <c r="AA58" s="10"/>
      <c r="AB58" s="10" t="s">
        <v>324</v>
      </c>
      <c r="AC58" s="32" t="s">
        <v>212</v>
      </c>
      <c r="AD58" s="10"/>
      <c r="AE58" s="10"/>
      <c r="AF58" s="10" t="s">
        <v>59</v>
      </c>
      <c r="AG58" s="10"/>
      <c r="AH58" s="10"/>
      <c r="AI58" s="38">
        <v>0.29166666666666669</v>
      </c>
      <c r="AJ58" s="38">
        <v>0.66666666666666663</v>
      </c>
      <c r="AK58" s="24">
        <v>0.83333333333333337</v>
      </c>
    </row>
    <row r="59" spans="1:40" ht="14.25" customHeight="1">
      <c r="A59">
        <v>74</v>
      </c>
      <c r="B59" s="1">
        <v>10419548</v>
      </c>
      <c r="C59" s="1" t="s">
        <v>92</v>
      </c>
      <c r="D59" s="1" t="s">
        <v>329</v>
      </c>
      <c r="E59" s="1" t="s">
        <v>330</v>
      </c>
      <c r="F59" s="1" t="str">
        <f>D59&amp;" "&amp;E59</f>
        <v>ศราวุฒิ พะศรี</v>
      </c>
      <c r="G59" s="1" t="s">
        <v>156</v>
      </c>
      <c r="H59" s="1" t="s">
        <v>331</v>
      </c>
      <c r="I59" s="1" t="s">
        <v>332</v>
      </c>
      <c r="J59" s="1" t="s">
        <v>45</v>
      </c>
      <c r="K59" s="1" t="s">
        <v>333</v>
      </c>
      <c r="L59" s="1" t="s">
        <v>47</v>
      </c>
      <c r="M59" s="1" t="s">
        <v>48</v>
      </c>
      <c r="N59" s="1" t="s">
        <v>48</v>
      </c>
      <c r="O59" s="1" t="s">
        <v>334</v>
      </c>
      <c r="P59" s="1" t="s">
        <v>334</v>
      </c>
      <c r="Q59" s="1">
        <v>10405220</v>
      </c>
      <c r="R59" s="1" t="s">
        <v>335</v>
      </c>
      <c r="S59" s="3" t="s">
        <v>51</v>
      </c>
      <c r="T59" s="1" t="s">
        <v>52</v>
      </c>
      <c r="U59" s="1" t="s">
        <v>53</v>
      </c>
      <c r="V59" s="1" t="s">
        <v>54</v>
      </c>
      <c r="W59" s="1" t="s">
        <v>55</v>
      </c>
      <c r="X59" s="1">
        <v>1</v>
      </c>
      <c r="Y59" s="10" t="s">
        <v>56</v>
      </c>
      <c r="Z59" s="10"/>
      <c r="AA59" s="10"/>
      <c r="AB59" s="10" t="s">
        <v>324</v>
      </c>
      <c r="AC59" s="32" t="s">
        <v>58</v>
      </c>
      <c r="AD59" s="10"/>
      <c r="AE59" s="10"/>
      <c r="AF59" s="10" t="s">
        <v>59</v>
      </c>
      <c r="AG59" s="10"/>
      <c r="AH59" s="10"/>
      <c r="AI59" s="38">
        <v>0.29166666666666669</v>
      </c>
      <c r="AJ59" s="38">
        <v>0.66666666666666663</v>
      </c>
      <c r="AK59" s="24">
        <v>0.83333333333333337</v>
      </c>
    </row>
    <row r="60" spans="1:40" ht="14.25" customHeight="1">
      <c r="A60">
        <v>355</v>
      </c>
      <c r="B60" s="1">
        <v>10680250</v>
      </c>
      <c r="C60" s="1" t="s">
        <v>92</v>
      </c>
      <c r="D60" s="1" t="s">
        <v>336</v>
      </c>
      <c r="E60" s="1" t="s">
        <v>326</v>
      </c>
      <c r="F60" s="1" t="str">
        <f>D60&amp;" "&amp;E60</f>
        <v>วีระพล สุ่มเงิน</v>
      </c>
      <c r="G60" s="1" t="s">
        <v>337</v>
      </c>
      <c r="H60" s="1" t="s">
        <v>338</v>
      </c>
      <c r="I60" s="1">
        <v>10680250</v>
      </c>
      <c r="J60" s="1" t="s">
        <v>45</v>
      </c>
      <c r="K60" s="1" t="s">
        <v>97</v>
      </c>
      <c r="L60" s="1" t="s">
        <v>66</v>
      </c>
      <c r="M60" s="1" t="s">
        <v>48</v>
      </c>
      <c r="N60" s="1" t="s">
        <v>98</v>
      </c>
      <c r="O60" s="1" t="s">
        <v>99</v>
      </c>
      <c r="P60" s="1" t="s">
        <v>100</v>
      </c>
      <c r="Q60" s="1">
        <v>10358476</v>
      </c>
      <c r="R60" s="1" t="s">
        <v>151</v>
      </c>
      <c r="S60" s="3" t="s">
        <v>51</v>
      </c>
      <c r="T60" s="1" t="s">
        <v>52</v>
      </c>
      <c r="U60" s="1" t="s">
        <v>53</v>
      </c>
      <c r="V60" s="1" t="s">
        <v>54</v>
      </c>
      <c r="W60" s="1" t="s">
        <v>55</v>
      </c>
      <c r="X60" s="1">
        <v>1</v>
      </c>
      <c r="Y60" s="10" t="s">
        <v>56</v>
      </c>
      <c r="Z60" s="10"/>
      <c r="AA60" s="10"/>
      <c r="AB60" s="10" t="s">
        <v>324</v>
      </c>
      <c r="AC60" s="32" t="s">
        <v>84</v>
      </c>
      <c r="AD60" s="10"/>
      <c r="AE60" s="10"/>
      <c r="AF60" s="10" t="s">
        <v>59</v>
      </c>
      <c r="AG60" s="10"/>
      <c r="AH60" s="10"/>
      <c r="AI60" s="38">
        <v>0.29166666666666669</v>
      </c>
      <c r="AJ60" s="38">
        <v>0.66666666666666663</v>
      </c>
      <c r="AK60" s="24">
        <v>0.83333333333333337</v>
      </c>
    </row>
    <row r="61" spans="1:40" ht="14.25" customHeight="1">
      <c r="A61">
        <v>27</v>
      </c>
      <c r="B61" s="1">
        <v>10345846</v>
      </c>
      <c r="C61" s="1" t="s">
        <v>92</v>
      </c>
      <c r="D61" s="1" t="s">
        <v>339</v>
      </c>
      <c r="E61" s="1" t="s">
        <v>340</v>
      </c>
      <c r="F61" s="1" t="str">
        <f>D61&amp;" "&amp;E61</f>
        <v>อัชฌาณัฐฏ์ พิภูธนัตถ์</v>
      </c>
      <c r="G61" s="1" t="s">
        <v>341</v>
      </c>
      <c r="H61" s="1" t="s">
        <v>342</v>
      </c>
      <c r="I61" s="1" t="s">
        <v>343</v>
      </c>
      <c r="J61" s="1" t="s">
        <v>45</v>
      </c>
      <c r="K61" s="2">
        <v>43107</v>
      </c>
      <c r="L61" s="1" t="s">
        <v>47</v>
      </c>
      <c r="M61" s="1" t="s">
        <v>48</v>
      </c>
      <c r="N61" s="1" t="s">
        <v>48</v>
      </c>
      <c r="O61" s="1" t="s">
        <v>344</v>
      </c>
      <c r="P61" s="1" t="s">
        <v>344</v>
      </c>
      <c r="Q61" s="1">
        <v>10405220</v>
      </c>
      <c r="R61" s="1" t="s">
        <v>335</v>
      </c>
      <c r="S61" s="3" t="s">
        <v>51</v>
      </c>
      <c r="T61" s="1" t="s">
        <v>52</v>
      </c>
      <c r="U61" s="1" t="s">
        <v>53</v>
      </c>
      <c r="V61" s="1" t="s">
        <v>54</v>
      </c>
      <c r="W61" s="1" t="s">
        <v>55</v>
      </c>
      <c r="X61" s="1">
        <v>1</v>
      </c>
      <c r="Y61" s="10" t="s">
        <v>56</v>
      </c>
      <c r="Z61" s="10"/>
      <c r="AA61" s="10"/>
      <c r="AB61" s="10" t="s">
        <v>324</v>
      </c>
      <c r="AC61" s="32" t="s">
        <v>84</v>
      </c>
      <c r="AD61" s="10"/>
      <c r="AE61" s="10"/>
      <c r="AF61" s="10" t="s">
        <v>77</v>
      </c>
      <c r="AG61" s="10"/>
      <c r="AH61" s="10"/>
      <c r="AL61" s="38">
        <v>0.70833333333333337</v>
      </c>
      <c r="AM61" s="38">
        <v>8.3333333333333329E-2</v>
      </c>
      <c r="AN61" s="24">
        <v>0.20833333333333334</v>
      </c>
    </row>
    <row r="62" spans="1:40" ht="14.25" customHeight="1">
      <c r="A62">
        <v>225</v>
      </c>
      <c r="B62" s="1">
        <v>10647101</v>
      </c>
      <c r="C62" s="1" t="s">
        <v>92</v>
      </c>
      <c r="D62" s="1" t="s">
        <v>345</v>
      </c>
      <c r="E62" s="1" t="s">
        <v>346</v>
      </c>
      <c r="F62" s="1" t="str">
        <f>D62&amp;" "&amp;E62</f>
        <v>อนุวัฒน์ สมนวน</v>
      </c>
      <c r="G62" s="1" t="s">
        <v>347</v>
      </c>
      <c r="H62" s="1" t="s">
        <v>348</v>
      </c>
      <c r="I62" s="1">
        <v>10647101</v>
      </c>
      <c r="J62" s="1" t="s">
        <v>45</v>
      </c>
      <c r="K62" s="2">
        <v>45874</v>
      </c>
      <c r="L62" s="1" t="s">
        <v>66</v>
      </c>
      <c r="M62" s="1" t="s">
        <v>48</v>
      </c>
      <c r="N62" s="1" t="s">
        <v>48</v>
      </c>
      <c r="O62" s="2">
        <v>45756</v>
      </c>
      <c r="P62" s="2">
        <v>45756</v>
      </c>
      <c r="Q62" s="1">
        <v>10358474</v>
      </c>
      <c r="R62" s="1" t="s">
        <v>299</v>
      </c>
      <c r="S62" s="3" t="s">
        <v>51</v>
      </c>
      <c r="T62" s="1" t="s">
        <v>52</v>
      </c>
      <c r="U62" s="1" t="s">
        <v>53</v>
      </c>
      <c r="V62" s="1" t="s">
        <v>54</v>
      </c>
      <c r="W62" s="1" t="s">
        <v>55</v>
      </c>
      <c r="X62" s="1">
        <v>1</v>
      </c>
      <c r="Y62" s="10" t="s">
        <v>56</v>
      </c>
      <c r="Z62" s="10"/>
      <c r="AA62" s="10"/>
      <c r="AB62" s="10" t="s">
        <v>324</v>
      </c>
      <c r="AC62" s="32" t="s">
        <v>91</v>
      </c>
      <c r="AD62" s="10"/>
      <c r="AE62" s="10"/>
      <c r="AF62" s="10" t="s">
        <v>77</v>
      </c>
      <c r="AG62" s="10"/>
      <c r="AH62" s="10"/>
      <c r="AL62" s="38">
        <v>0.70833333333333337</v>
      </c>
      <c r="AM62" s="38">
        <v>8.3333333333333329E-2</v>
      </c>
      <c r="AN62" s="24">
        <v>0.20833333333333334</v>
      </c>
    </row>
    <row r="63" spans="1:40" ht="14.25" customHeight="1">
      <c r="A63">
        <v>45</v>
      </c>
      <c r="B63" s="1">
        <v>10388050</v>
      </c>
      <c r="C63" s="1" t="s">
        <v>92</v>
      </c>
      <c r="D63" s="1" t="s">
        <v>285</v>
      </c>
      <c r="E63" s="1" t="s">
        <v>349</v>
      </c>
      <c r="F63" s="1" t="str">
        <f>D63&amp;" "&amp;E63</f>
        <v>มนตรี ม่วงเจริญ</v>
      </c>
      <c r="G63" s="1" t="s">
        <v>286</v>
      </c>
      <c r="H63" s="1" t="s">
        <v>350</v>
      </c>
      <c r="I63" s="1">
        <v>10388050</v>
      </c>
      <c r="J63" s="1" t="s">
        <v>45</v>
      </c>
      <c r="K63" s="1" t="s">
        <v>351</v>
      </c>
      <c r="L63" s="1" t="s">
        <v>66</v>
      </c>
      <c r="M63" s="1" t="s">
        <v>48</v>
      </c>
      <c r="N63" s="1" t="s">
        <v>48</v>
      </c>
      <c r="O63" s="1" t="s">
        <v>352</v>
      </c>
      <c r="P63" s="1" t="s">
        <v>352</v>
      </c>
      <c r="Q63" s="1">
        <v>10358474</v>
      </c>
      <c r="R63" s="1" t="s">
        <v>299</v>
      </c>
      <c r="S63" s="3" t="s">
        <v>51</v>
      </c>
      <c r="T63" s="1" t="s">
        <v>52</v>
      </c>
      <c r="U63" s="1" t="s">
        <v>53</v>
      </c>
      <c r="V63" s="1" t="s">
        <v>54</v>
      </c>
      <c r="W63" s="1" t="s">
        <v>55</v>
      </c>
      <c r="X63" s="1">
        <v>1</v>
      </c>
      <c r="Y63" s="10" t="s">
        <v>56</v>
      </c>
      <c r="Z63" s="10"/>
      <c r="AA63" s="10"/>
      <c r="AB63" s="10" t="s">
        <v>324</v>
      </c>
      <c r="AC63" s="32" t="s">
        <v>212</v>
      </c>
      <c r="AD63" s="10"/>
      <c r="AE63" s="10"/>
      <c r="AF63" s="10" t="s">
        <v>77</v>
      </c>
      <c r="AG63" s="10"/>
      <c r="AH63" s="10"/>
      <c r="AL63" s="38">
        <v>0.70833333333333337</v>
      </c>
      <c r="AM63" s="38">
        <v>8.3333333333333329E-2</v>
      </c>
      <c r="AN63" s="24">
        <v>0.20833333333333334</v>
      </c>
    </row>
    <row r="64" spans="1:40" ht="14.25" customHeight="1">
      <c r="A64">
        <v>177</v>
      </c>
      <c r="B64" s="1">
        <v>10606751</v>
      </c>
      <c r="C64" s="1" t="s">
        <v>92</v>
      </c>
      <c r="D64" s="1" t="s">
        <v>353</v>
      </c>
      <c r="E64" s="1" t="s">
        <v>354</v>
      </c>
      <c r="F64" s="1" t="str">
        <f>D64&amp;" "&amp;E64</f>
        <v>กฤษณะ หนูสิทธิ์</v>
      </c>
      <c r="G64" s="1" t="s">
        <v>355</v>
      </c>
      <c r="H64" s="1" t="s">
        <v>356</v>
      </c>
      <c r="I64" s="1">
        <v>10606751</v>
      </c>
      <c r="J64" s="1" t="s">
        <v>45</v>
      </c>
      <c r="K64" s="2">
        <v>45327</v>
      </c>
      <c r="L64" s="1" t="s">
        <v>66</v>
      </c>
      <c r="M64" s="1" t="s">
        <v>48</v>
      </c>
      <c r="N64" s="1" t="s">
        <v>48</v>
      </c>
      <c r="O64" s="1" t="s">
        <v>232</v>
      </c>
      <c r="P64" s="1" t="s">
        <v>232</v>
      </c>
      <c r="Q64" s="1">
        <v>10358474</v>
      </c>
      <c r="R64" s="1" t="s">
        <v>299</v>
      </c>
      <c r="S64" s="3" t="s">
        <v>51</v>
      </c>
      <c r="T64" s="1" t="s">
        <v>52</v>
      </c>
      <c r="U64" s="1" t="s">
        <v>53</v>
      </c>
      <c r="V64" s="1" t="s">
        <v>54</v>
      </c>
      <c r="W64" s="1" t="s">
        <v>55</v>
      </c>
      <c r="X64" s="1">
        <v>1</v>
      </c>
      <c r="Y64" s="10" t="s">
        <v>56</v>
      </c>
      <c r="Z64" s="10"/>
      <c r="AA64" s="10"/>
      <c r="AB64" s="10" t="s">
        <v>324</v>
      </c>
      <c r="AC64" s="32" t="s">
        <v>76</v>
      </c>
      <c r="AD64" s="10"/>
      <c r="AE64" s="10"/>
      <c r="AF64" s="10" t="s">
        <v>77</v>
      </c>
      <c r="AG64" s="10"/>
      <c r="AH64" s="10"/>
      <c r="AL64" s="38">
        <v>0.70833333333333337</v>
      </c>
      <c r="AM64" s="38">
        <v>8.3333333333333329E-2</v>
      </c>
      <c r="AN64" s="24">
        <v>0.20833333333333334</v>
      </c>
    </row>
    <row r="65" spans="1:42" ht="14.25" customHeight="1">
      <c r="A65">
        <v>23</v>
      </c>
      <c r="B65" s="1">
        <v>10341299</v>
      </c>
      <c r="C65" s="1" t="s">
        <v>39</v>
      </c>
      <c r="D65" s="1" t="s">
        <v>357</v>
      </c>
      <c r="E65" s="1" t="s">
        <v>358</v>
      </c>
      <c r="F65" s="1" t="str">
        <f>D65&amp;" "&amp;E65</f>
        <v>สุดาภรณ์ วงษ์เซ็น</v>
      </c>
      <c r="G65" s="1" t="s">
        <v>359</v>
      </c>
      <c r="H65" s="1" t="s">
        <v>360</v>
      </c>
      <c r="I65" s="1" t="s">
        <v>361</v>
      </c>
      <c r="J65" s="1" t="s">
        <v>45</v>
      </c>
      <c r="K65" s="2">
        <v>43106</v>
      </c>
      <c r="L65" s="1" t="s">
        <v>47</v>
      </c>
      <c r="M65" s="1" t="s">
        <v>48</v>
      </c>
      <c r="N65" s="1" t="s">
        <v>48</v>
      </c>
      <c r="O65" s="1" t="s">
        <v>362</v>
      </c>
      <c r="P65" s="1" t="s">
        <v>362</v>
      </c>
      <c r="Q65" s="1">
        <v>10405225</v>
      </c>
      <c r="R65" s="1" t="s">
        <v>363</v>
      </c>
      <c r="S65" s="3" t="s">
        <v>51</v>
      </c>
      <c r="T65" s="1" t="s">
        <v>52</v>
      </c>
      <c r="U65" s="1" t="s">
        <v>53</v>
      </c>
      <c r="V65" s="1" t="s">
        <v>54</v>
      </c>
      <c r="W65" s="1" t="s">
        <v>55</v>
      </c>
      <c r="X65" s="1">
        <v>1</v>
      </c>
      <c r="Y65" s="10" t="s">
        <v>56</v>
      </c>
      <c r="Z65" s="10"/>
      <c r="AA65" s="10"/>
      <c r="AB65" s="10" t="s">
        <v>364</v>
      </c>
      <c r="AC65" s="32" t="s">
        <v>138</v>
      </c>
      <c r="AD65" s="10"/>
      <c r="AE65" s="10"/>
      <c r="AF65" s="10" t="s">
        <v>59</v>
      </c>
      <c r="AG65" s="10"/>
      <c r="AH65" s="10"/>
      <c r="AI65" s="24">
        <v>0.33333333333333331</v>
      </c>
      <c r="AJ65" s="24">
        <v>0.70833333333333337</v>
      </c>
    </row>
    <row r="66" spans="1:42" ht="14.25" customHeight="1">
      <c r="A66">
        <v>213</v>
      </c>
      <c r="B66" s="1">
        <v>10641165</v>
      </c>
      <c r="C66" s="1" t="s">
        <v>39</v>
      </c>
      <c r="D66" s="1" t="s">
        <v>365</v>
      </c>
      <c r="E66" s="1" t="s">
        <v>358</v>
      </c>
      <c r="F66" s="1" t="str">
        <f>D66&amp;" "&amp;E66</f>
        <v>พรวดี วงษ์เซ็น</v>
      </c>
      <c r="G66" s="1" t="s">
        <v>366</v>
      </c>
      <c r="H66" s="1" t="s">
        <v>360</v>
      </c>
      <c r="I66" s="1">
        <v>10641165</v>
      </c>
      <c r="J66" s="1" t="s">
        <v>45</v>
      </c>
      <c r="K66" s="1" t="s">
        <v>179</v>
      </c>
      <c r="L66" s="1" t="s">
        <v>66</v>
      </c>
      <c r="M66" s="1" t="s">
        <v>48</v>
      </c>
      <c r="N66" s="1" t="s">
        <v>48</v>
      </c>
      <c r="O66" s="1" t="s">
        <v>180</v>
      </c>
      <c r="P66" s="1" t="s">
        <v>180</v>
      </c>
      <c r="Q66" s="1">
        <v>10405193</v>
      </c>
      <c r="R66" s="1" t="s">
        <v>367</v>
      </c>
      <c r="S66" s="3" t="s">
        <v>51</v>
      </c>
      <c r="T66" s="1" t="s">
        <v>52</v>
      </c>
      <c r="U66" s="1" t="s">
        <v>53</v>
      </c>
      <c r="V66" s="1" t="s">
        <v>54</v>
      </c>
      <c r="W66" s="1" t="s">
        <v>55</v>
      </c>
      <c r="X66" s="1">
        <v>1</v>
      </c>
      <c r="Y66" s="10" t="s">
        <v>56</v>
      </c>
      <c r="Z66" s="10"/>
      <c r="AA66" s="10"/>
      <c r="AB66" s="10" t="s">
        <v>364</v>
      </c>
      <c r="AC66" s="32" t="s">
        <v>58</v>
      </c>
      <c r="AD66" s="10"/>
      <c r="AE66" s="10"/>
      <c r="AF66" s="10" t="s">
        <v>77</v>
      </c>
      <c r="AG66" s="10"/>
      <c r="AH66" s="10"/>
      <c r="AL66" s="24">
        <v>0.625</v>
      </c>
      <c r="AM66" s="24">
        <v>0</v>
      </c>
    </row>
    <row r="67" spans="1:42" ht="14.25" customHeight="1">
      <c r="A67">
        <v>63</v>
      </c>
      <c r="B67" s="1">
        <v>10412335</v>
      </c>
      <c r="C67" s="1" t="s">
        <v>39</v>
      </c>
      <c r="D67" s="1" t="s">
        <v>368</v>
      </c>
      <c r="E67" s="1" t="s">
        <v>369</v>
      </c>
      <c r="F67" s="1" t="str">
        <f>D67&amp;" "&amp;E67</f>
        <v>สุกัญญา มั่นชื่น</v>
      </c>
      <c r="G67" s="1" t="s">
        <v>370</v>
      </c>
      <c r="H67" s="1" t="s">
        <v>371</v>
      </c>
      <c r="I67" s="1">
        <v>10412335</v>
      </c>
      <c r="J67" s="1" t="s">
        <v>45</v>
      </c>
      <c r="K67" s="2">
        <v>43872</v>
      </c>
      <c r="L67" s="1" t="s">
        <v>66</v>
      </c>
      <c r="M67" s="1" t="s">
        <v>48</v>
      </c>
      <c r="N67" s="1" t="s">
        <v>48</v>
      </c>
      <c r="O67" s="2">
        <v>44199</v>
      </c>
      <c r="P67" s="2">
        <v>44199</v>
      </c>
      <c r="Q67" s="1">
        <v>10358477</v>
      </c>
      <c r="R67" s="1" t="s">
        <v>372</v>
      </c>
      <c r="S67" s="3" t="s">
        <v>51</v>
      </c>
      <c r="T67" s="1" t="s">
        <v>52</v>
      </c>
      <c r="U67" s="1" t="s">
        <v>53</v>
      </c>
      <c r="V67" s="1" t="s">
        <v>54</v>
      </c>
      <c r="W67" s="1" t="s">
        <v>55</v>
      </c>
      <c r="X67" s="1">
        <v>1</v>
      </c>
      <c r="Y67" s="10" t="s">
        <v>56</v>
      </c>
      <c r="Z67" s="10"/>
      <c r="AA67" s="10"/>
      <c r="AB67" s="10" t="s">
        <v>364</v>
      </c>
      <c r="AC67" s="32" t="s">
        <v>84</v>
      </c>
      <c r="AD67" s="10"/>
      <c r="AE67" s="10"/>
      <c r="AF67" s="10" t="s">
        <v>227</v>
      </c>
      <c r="AG67" s="10"/>
      <c r="AH67" s="10"/>
      <c r="AO67" s="24">
        <v>0.83333333333333337</v>
      </c>
      <c r="AP67" s="24">
        <v>0.20833333333333334</v>
      </c>
    </row>
    <row r="68" spans="1:42" ht="14.25" customHeight="1">
      <c r="A68">
        <v>56</v>
      </c>
      <c r="B68" s="1">
        <v>10400674</v>
      </c>
      <c r="C68" s="1" t="s">
        <v>92</v>
      </c>
      <c r="D68" s="1" t="s">
        <v>213</v>
      </c>
      <c r="E68" s="1" t="s">
        <v>373</v>
      </c>
      <c r="F68" s="1" t="str">
        <f>D68&amp;" "&amp;E68</f>
        <v>ณัฐพล เคลือบด้วง</v>
      </c>
      <c r="G68" s="1" t="s">
        <v>374</v>
      </c>
      <c r="H68" s="1" t="s">
        <v>375</v>
      </c>
      <c r="I68" s="1">
        <v>10400674</v>
      </c>
      <c r="J68" s="1" t="s">
        <v>45</v>
      </c>
      <c r="K68" s="2">
        <v>43866</v>
      </c>
      <c r="L68" s="1" t="s">
        <v>66</v>
      </c>
      <c r="M68" s="1" t="s">
        <v>48</v>
      </c>
      <c r="N68" s="1" t="s">
        <v>48</v>
      </c>
      <c r="O68" s="1" t="s">
        <v>201</v>
      </c>
      <c r="P68" s="1" t="s">
        <v>201</v>
      </c>
      <c r="Q68" s="1">
        <v>10358477</v>
      </c>
      <c r="R68" s="1" t="s">
        <v>372</v>
      </c>
      <c r="S68" s="3" t="s">
        <v>51</v>
      </c>
      <c r="T68" s="1" t="s">
        <v>52</v>
      </c>
      <c r="U68" s="1" t="s">
        <v>53</v>
      </c>
      <c r="V68" s="1" t="s">
        <v>54</v>
      </c>
      <c r="W68" s="1" t="s">
        <v>55</v>
      </c>
      <c r="X68" s="1">
        <v>1</v>
      </c>
      <c r="Y68" s="10" t="s">
        <v>56</v>
      </c>
      <c r="Z68" s="10"/>
      <c r="AA68" s="10"/>
      <c r="AB68" s="10" t="s">
        <v>364</v>
      </c>
      <c r="AC68" s="32" t="s">
        <v>69</v>
      </c>
      <c r="AD68" s="10"/>
      <c r="AE68" s="10"/>
      <c r="AF68" s="10" t="s">
        <v>227</v>
      </c>
      <c r="AG68" s="10"/>
      <c r="AH68" s="10"/>
      <c r="AO68" s="24">
        <v>0.83333333333333337</v>
      </c>
      <c r="AP68" s="24">
        <v>0.20833333333333334</v>
      </c>
    </row>
    <row r="69" spans="1:42" ht="14.25" customHeight="1">
      <c r="A69">
        <v>2</v>
      </c>
      <c r="B69" s="1">
        <v>10039734</v>
      </c>
      <c r="C69" s="1" t="s">
        <v>92</v>
      </c>
      <c r="D69" s="1" t="s">
        <v>193</v>
      </c>
      <c r="E69" s="1" t="s">
        <v>376</v>
      </c>
      <c r="F69" s="1" t="str">
        <f>D69&amp;" "&amp;E69</f>
        <v>ศุภชัย สามัคคี</v>
      </c>
      <c r="G69" s="1" t="s">
        <v>195</v>
      </c>
      <c r="H69" s="1" t="s">
        <v>377</v>
      </c>
      <c r="I69" s="1" t="s">
        <v>378</v>
      </c>
      <c r="J69" s="1" t="s">
        <v>45</v>
      </c>
      <c r="K69" s="2">
        <v>39450</v>
      </c>
      <c r="L69" s="1" t="s">
        <v>47</v>
      </c>
      <c r="M69" s="1" t="s">
        <v>48</v>
      </c>
      <c r="N69" s="1" t="s">
        <v>48</v>
      </c>
      <c r="O69" s="1" t="s">
        <v>379</v>
      </c>
      <c r="P69" s="1" t="s">
        <v>379</v>
      </c>
      <c r="Q69" s="1">
        <v>10339613</v>
      </c>
      <c r="R69" s="1" t="s">
        <v>380</v>
      </c>
      <c r="S69" s="3" t="s">
        <v>51</v>
      </c>
      <c r="T69" s="1" t="s">
        <v>52</v>
      </c>
      <c r="U69" s="1" t="s">
        <v>53</v>
      </c>
      <c r="V69" s="1" t="s">
        <v>54</v>
      </c>
      <c r="W69" s="1" t="s">
        <v>55</v>
      </c>
      <c r="X69" s="1">
        <v>1</v>
      </c>
      <c r="Y69" s="10" t="s">
        <v>56</v>
      </c>
      <c r="Z69" s="10"/>
      <c r="AA69" s="10"/>
      <c r="AB69" s="10" t="s">
        <v>381</v>
      </c>
      <c r="AC69" s="32"/>
      <c r="AD69" s="10"/>
      <c r="AE69" s="10"/>
      <c r="AF69" s="43" t="s">
        <v>381</v>
      </c>
      <c r="AG69" s="10"/>
      <c r="AH69" s="10"/>
    </row>
    <row r="70" spans="1:42" ht="14.25" customHeight="1">
      <c r="A70">
        <v>354</v>
      </c>
      <c r="B70" s="1">
        <v>10680240</v>
      </c>
      <c r="C70" s="1" t="s">
        <v>92</v>
      </c>
      <c r="D70" s="1" t="s">
        <v>382</v>
      </c>
      <c r="E70" s="1" t="s">
        <v>383</v>
      </c>
      <c r="F70" s="1" t="str">
        <f>D70&amp;" "&amp;E70</f>
        <v>สหภาพ โพธิ์ศรี</v>
      </c>
      <c r="G70" s="1" t="s">
        <v>384</v>
      </c>
      <c r="H70" s="1" t="s">
        <v>385</v>
      </c>
      <c r="I70" s="1">
        <v>10680240</v>
      </c>
      <c r="J70" s="1" t="s">
        <v>45</v>
      </c>
      <c r="K70" s="1" t="s">
        <v>97</v>
      </c>
      <c r="L70" s="1" t="s">
        <v>66</v>
      </c>
      <c r="M70" s="1" t="s">
        <v>48</v>
      </c>
      <c r="N70" s="1" t="s">
        <v>98</v>
      </c>
      <c r="O70" s="1" t="s">
        <v>99</v>
      </c>
      <c r="P70" s="1" t="s">
        <v>100</v>
      </c>
      <c r="Q70" s="1">
        <v>10358476</v>
      </c>
      <c r="R70" s="1" t="s">
        <v>151</v>
      </c>
      <c r="S70" s="3" t="s">
        <v>51</v>
      </c>
      <c r="T70" s="1" t="s">
        <v>52</v>
      </c>
      <c r="U70" s="1" t="s">
        <v>53</v>
      </c>
      <c r="V70" s="1" t="s">
        <v>54</v>
      </c>
      <c r="W70" s="1" t="s">
        <v>55</v>
      </c>
      <c r="X70" s="1">
        <v>1</v>
      </c>
      <c r="Y70" s="10" t="s">
        <v>56</v>
      </c>
      <c r="Z70" s="10"/>
      <c r="AA70" s="10"/>
      <c r="AB70" s="10" t="s">
        <v>386</v>
      </c>
      <c r="AC70" s="32" t="s">
        <v>212</v>
      </c>
      <c r="AD70" s="10"/>
      <c r="AE70" s="10"/>
      <c r="AF70" s="10" t="s">
        <v>59</v>
      </c>
      <c r="AG70" s="10"/>
      <c r="AH70" s="10"/>
      <c r="AI70" s="38">
        <v>0.33333333333333331</v>
      </c>
      <c r="AJ70" s="38">
        <v>0.70833333333333337</v>
      </c>
      <c r="AK70" s="24">
        <v>0.83333333333333337</v>
      </c>
    </row>
    <row r="71" spans="1:42" ht="14.25" customHeight="1">
      <c r="A71">
        <v>198</v>
      </c>
      <c r="B71" s="1">
        <v>10625434</v>
      </c>
      <c r="C71" s="1" t="s">
        <v>92</v>
      </c>
      <c r="D71" s="1" t="s">
        <v>387</v>
      </c>
      <c r="E71" s="1" t="s">
        <v>388</v>
      </c>
      <c r="F71" s="1" t="str">
        <f>D71&amp;" "&amp;E71</f>
        <v>วงศ์ธร สว่างแสง</v>
      </c>
      <c r="G71" s="1" t="s">
        <v>389</v>
      </c>
      <c r="H71" s="1" t="s">
        <v>390</v>
      </c>
      <c r="I71" s="1">
        <v>10625434</v>
      </c>
      <c r="J71" s="1" t="s">
        <v>45</v>
      </c>
      <c r="K71" s="2">
        <v>45301</v>
      </c>
      <c r="L71" s="1" t="s">
        <v>66</v>
      </c>
      <c r="M71" s="1" t="s">
        <v>48</v>
      </c>
      <c r="N71" s="1" t="s">
        <v>48</v>
      </c>
      <c r="O71" s="1" t="s">
        <v>391</v>
      </c>
      <c r="P71" s="1" t="s">
        <v>391</v>
      </c>
      <c r="Q71" s="1">
        <v>10358479</v>
      </c>
      <c r="R71" s="1" t="s">
        <v>261</v>
      </c>
      <c r="S71" s="3" t="s">
        <v>51</v>
      </c>
      <c r="T71" s="1" t="s">
        <v>52</v>
      </c>
      <c r="U71" s="1" t="s">
        <v>53</v>
      </c>
      <c r="V71" s="1" t="s">
        <v>54</v>
      </c>
      <c r="W71" s="1" t="s">
        <v>55</v>
      </c>
      <c r="X71" s="1">
        <v>1</v>
      </c>
      <c r="Y71" s="10" t="s">
        <v>56</v>
      </c>
      <c r="Z71" s="10"/>
      <c r="AA71" s="10"/>
      <c r="AB71" s="10" t="s">
        <v>386</v>
      </c>
      <c r="AC71" s="32"/>
      <c r="AD71" s="10"/>
      <c r="AE71" s="10"/>
      <c r="AF71" s="10" t="s">
        <v>59</v>
      </c>
      <c r="AG71" s="10"/>
      <c r="AH71" s="10"/>
      <c r="AI71" s="38">
        <v>0.33333333333333331</v>
      </c>
      <c r="AJ71" s="38">
        <v>0.70833333333333337</v>
      </c>
      <c r="AK71" s="24">
        <v>0.83333333333333337</v>
      </c>
    </row>
    <row r="72" spans="1:42" ht="14.25" customHeight="1">
      <c r="A72">
        <v>256</v>
      </c>
      <c r="B72" s="1">
        <v>10658269</v>
      </c>
      <c r="C72" s="1" t="s">
        <v>92</v>
      </c>
      <c r="D72" s="1" t="s">
        <v>392</v>
      </c>
      <c r="E72" s="1" t="s">
        <v>393</v>
      </c>
      <c r="F72" s="1" t="str">
        <f>D72&amp;" "&amp;E72</f>
        <v>นันทวุฒิ จันทร์สุข</v>
      </c>
      <c r="G72" s="1" t="s">
        <v>394</v>
      </c>
      <c r="H72" s="1" t="s">
        <v>395</v>
      </c>
      <c r="I72" s="1">
        <v>10658269</v>
      </c>
      <c r="J72" s="1" t="s">
        <v>45</v>
      </c>
      <c r="K72" s="2">
        <v>45665</v>
      </c>
      <c r="L72" s="1" t="s">
        <v>66</v>
      </c>
      <c r="M72" s="1" t="s">
        <v>48</v>
      </c>
      <c r="N72" s="1" t="s">
        <v>48</v>
      </c>
      <c r="O72" s="1" t="s">
        <v>107</v>
      </c>
      <c r="P72" s="1" t="s">
        <v>107</v>
      </c>
      <c r="Q72" s="1">
        <v>10358476</v>
      </c>
      <c r="R72" s="1" t="s">
        <v>151</v>
      </c>
      <c r="S72" s="3" t="s">
        <v>51</v>
      </c>
      <c r="T72" s="1" t="s">
        <v>52</v>
      </c>
      <c r="U72" s="1" t="s">
        <v>53</v>
      </c>
      <c r="V72" s="1" t="s">
        <v>54</v>
      </c>
      <c r="W72" s="1" t="s">
        <v>55</v>
      </c>
      <c r="X72" s="1">
        <v>1</v>
      </c>
      <c r="Y72" s="10" t="s">
        <v>56</v>
      </c>
      <c r="Z72" s="10"/>
      <c r="AA72" s="10"/>
      <c r="AB72" s="10" t="s">
        <v>386</v>
      </c>
      <c r="AC72" s="32" t="s">
        <v>91</v>
      </c>
      <c r="AD72" s="10"/>
      <c r="AE72" s="10"/>
      <c r="AF72" s="10" t="s">
        <v>59</v>
      </c>
      <c r="AG72" s="10"/>
      <c r="AH72" s="10"/>
      <c r="AI72" s="38">
        <v>0.33333333333333331</v>
      </c>
      <c r="AJ72" s="38">
        <v>0.70833333333333337</v>
      </c>
      <c r="AK72" s="24">
        <v>0.83333333333333337</v>
      </c>
    </row>
    <row r="73" spans="1:42" ht="14.25" customHeight="1">
      <c r="A73">
        <v>78</v>
      </c>
      <c r="B73" s="1">
        <v>10427898</v>
      </c>
      <c r="C73" s="1" t="s">
        <v>39</v>
      </c>
      <c r="D73" s="1" t="s">
        <v>396</v>
      </c>
      <c r="E73" s="1" t="s">
        <v>397</v>
      </c>
      <c r="F73" s="1" t="str">
        <f>D73&amp;" "&amp;E73</f>
        <v>นภาพร เพ็ชรโต</v>
      </c>
      <c r="G73" s="1" t="s">
        <v>398</v>
      </c>
      <c r="H73" s="1" t="s">
        <v>399</v>
      </c>
      <c r="I73" s="1">
        <v>10427898</v>
      </c>
      <c r="J73" s="1" t="s">
        <v>45</v>
      </c>
      <c r="K73" s="2">
        <v>44202</v>
      </c>
      <c r="L73" s="1" t="s">
        <v>66</v>
      </c>
      <c r="M73" s="1" t="s">
        <v>48</v>
      </c>
      <c r="N73" s="1" t="s">
        <v>48</v>
      </c>
      <c r="O73" s="1" t="s">
        <v>400</v>
      </c>
      <c r="P73" s="1" t="s">
        <v>400</v>
      </c>
      <c r="Q73" s="1">
        <v>10358476</v>
      </c>
      <c r="R73" s="1" t="s">
        <v>151</v>
      </c>
      <c r="S73" s="3" t="s">
        <v>51</v>
      </c>
      <c r="T73" s="1" t="s">
        <v>52</v>
      </c>
      <c r="U73" s="1" t="s">
        <v>53</v>
      </c>
      <c r="V73" s="1" t="s">
        <v>54</v>
      </c>
      <c r="W73" s="1" t="s">
        <v>55</v>
      </c>
      <c r="X73" s="1">
        <v>1</v>
      </c>
      <c r="Y73" s="10" t="s">
        <v>56</v>
      </c>
      <c r="Z73" s="10"/>
      <c r="AA73" s="10"/>
      <c r="AB73" s="10" t="s">
        <v>386</v>
      </c>
      <c r="AC73" s="32" t="s">
        <v>138</v>
      </c>
      <c r="AD73" s="10"/>
      <c r="AE73" s="10"/>
      <c r="AF73" s="10" t="s">
        <v>59</v>
      </c>
      <c r="AG73" s="10"/>
      <c r="AH73" s="10"/>
      <c r="AI73" s="38">
        <v>0.33333333333333331</v>
      </c>
      <c r="AJ73" s="38">
        <v>0.70833333333333337</v>
      </c>
      <c r="AK73" s="24">
        <v>0.83333333333333337</v>
      </c>
    </row>
    <row r="74" spans="1:42" ht="14.25" customHeight="1">
      <c r="A74">
        <v>14</v>
      </c>
      <c r="B74" s="1">
        <v>10303959</v>
      </c>
      <c r="C74" s="1" t="s">
        <v>92</v>
      </c>
      <c r="D74" s="1" t="s">
        <v>401</v>
      </c>
      <c r="E74" s="1" t="s">
        <v>402</v>
      </c>
      <c r="F74" s="1" t="str">
        <f>D74&amp;" "&amp;E74</f>
        <v>นพดล มุขดารา</v>
      </c>
      <c r="G74" s="1" t="s">
        <v>403</v>
      </c>
      <c r="H74" s="1" t="s">
        <v>404</v>
      </c>
      <c r="I74" s="1">
        <v>10303959</v>
      </c>
      <c r="J74" s="1" t="s">
        <v>45</v>
      </c>
      <c r="K74" s="2">
        <v>42739</v>
      </c>
      <c r="L74" s="1" t="s">
        <v>66</v>
      </c>
      <c r="M74" s="1" t="s">
        <v>48</v>
      </c>
      <c r="N74" s="1" t="s">
        <v>48</v>
      </c>
      <c r="O74" s="1" t="s">
        <v>405</v>
      </c>
      <c r="P74" s="1" t="s">
        <v>405</v>
      </c>
      <c r="Q74" s="1">
        <v>10358476</v>
      </c>
      <c r="R74" s="1" t="s">
        <v>151</v>
      </c>
      <c r="S74" s="3" t="s">
        <v>51</v>
      </c>
      <c r="T74" s="1" t="s">
        <v>52</v>
      </c>
      <c r="U74" s="1" t="s">
        <v>53</v>
      </c>
      <c r="V74" s="1" t="s">
        <v>54</v>
      </c>
      <c r="W74" s="1" t="s">
        <v>55</v>
      </c>
      <c r="X74" s="1">
        <v>1</v>
      </c>
      <c r="Y74" s="10" t="s">
        <v>56</v>
      </c>
      <c r="Z74" s="10"/>
      <c r="AA74" s="10"/>
      <c r="AB74" s="10" t="s">
        <v>386</v>
      </c>
      <c r="AC74" s="32" t="s">
        <v>58</v>
      </c>
      <c r="AD74" s="10"/>
      <c r="AE74" s="10"/>
      <c r="AF74" s="10" t="s">
        <v>59</v>
      </c>
      <c r="AG74" s="10"/>
      <c r="AH74" s="10"/>
      <c r="AI74" s="38">
        <v>0.33333333333333331</v>
      </c>
      <c r="AJ74" s="38">
        <v>0.70833333333333337</v>
      </c>
      <c r="AK74" s="24">
        <v>0.83333333333333337</v>
      </c>
    </row>
    <row r="75" spans="1:42" ht="14.25" customHeight="1">
      <c r="A75">
        <v>73</v>
      </c>
      <c r="B75" s="1">
        <v>10419529</v>
      </c>
      <c r="C75" s="1" t="s">
        <v>92</v>
      </c>
      <c r="D75" s="1" t="s">
        <v>406</v>
      </c>
      <c r="E75" s="1" t="s">
        <v>407</v>
      </c>
      <c r="F75" s="1" t="str">
        <f>D75&amp;" "&amp;E75</f>
        <v>ธวัชชัย เชนชาญ</v>
      </c>
      <c r="G75" s="1" t="s">
        <v>408</v>
      </c>
      <c r="H75" s="1" t="s">
        <v>409</v>
      </c>
      <c r="I75" s="1" t="s">
        <v>410</v>
      </c>
      <c r="J75" s="1" t="s">
        <v>45</v>
      </c>
      <c r="K75" s="1" t="s">
        <v>333</v>
      </c>
      <c r="L75" s="1" t="s">
        <v>47</v>
      </c>
      <c r="M75" s="1" t="s">
        <v>48</v>
      </c>
      <c r="N75" s="1" t="s">
        <v>48</v>
      </c>
      <c r="O75" s="1" t="s">
        <v>334</v>
      </c>
      <c r="P75" s="1" t="s">
        <v>334</v>
      </c>
      <c r="Q75" s="1">
        <v>10405226</v>
      </c>
      <c r="R75" s="1" t="s">
        <v>411</v>
      </c>
      <c r="S75" s="3" t="s">
        <v>51</v>
      </c>
      <c r="T75" s="1" t="s">
        <v>52</v>
      </c>
      <c r="U75" s="1" t="s">
        <v>53</v>
      </c>
      <c r="V75" s="1" t="s">
        <v>54</v>
      </c>
      <c r="W75" s="1" t="s">
        <v>55</v>
      </c>
      <c r="X75" s="1">
        <v>1</v>
      </c>
      <c r="Y75" s="10" t="s">
        <v>56</v>
      </c>
      <c r="Z75" s="10"/>
      <c r="AA75" s="10"/>
      <c r="AB75" s="10" t="s">
        <v>386</v>
      </c>
      <c r="AC75" s="32" t="s">
        <v>138</v>
      </c>
      <c r="AD75" s="10"/>
      <c r="AE75" s="10"/>
      <c r="AF75" s="10" t="s">
        <v>59</v>
      </c>
      <c r="AG75" s="10"/>
      <c r="AH75" s="10"/>
      <c r="AI75" s="38">
        <v>0.33333333333333331</v>
      </c>
      <c r="AJ75" s="38">
        <v>0.70833333333333337</v>
      </c>
      <c r="AK75" s="24">
        <v>0.83333333333333337</v>
      </c>
    </row>
    <row r="76" spans="1:42" ht="14.25" customHeight="1">
      <c r="A76">
        <v>186</v>
      </c>
      <c r="B76" s="1">
        <v>10609745</v>
      </c>
      <c r="C76" s="1" t="s">
        <v>92</v>
      </c>
      <c r="D76" s="1" t="s">
        <v>353</v>
      </c>
      <c r="E76" s="1" t="s">
        <v>412</v>
      </c>
      <c r="F76" s="1" t="str">
        <f>D76&amp;" "&amp;E76</f>
        <v>กฤษณะ ชินทรักษา</v>
      </c>
      <c r="G76" s="1" t="s">
        <v>413</v>
      </c>
      <c r="H76" s="1" t="s">
        <v>414</v>
      </c>
      <c r="I76" s="1">
        <v>10609745</v>
      </c>
      <c r="J76" s="1" t="s">
        <v>45</v>
      </c>
      <c r="K76" s="1" t="s">
        <v>225</v>
      </c>
      <c r="L76" s="1" t="s">
        <v>66</v>
      </c>
      <c r="M76" s="1" t="s">
        <v>48</v>
      </c>
      <c r="N76" s="1" t="s">
        <v>48</v>
      </c>
      <c r="O76" s="1" t="s">
        <v>226</v>
      </c>
      <c r="P76" s="1" t="s">
        <v>226</v>
      </c>
      <c r="Q76" s="1">
        <v>10358476</v>
      </c>
      <c r="R76" s="1" t="s">
        <v>151</v>
      </c>
      <c r="S76" s="3" t="s">
        <v>51</v>
      </c>
      <c r="T76" s="1" t="s">
        <v>52</v>
      </c>
      <c r="U76" s="1" t="s">
        <v>53</v>
      </c>
      <c r="V76" s="1" t="s">
        <v>54</v>
      </c>
      <c r="W76" s="1" t="s">
        <v>55</v>
      </c>
      <c r="X76" s="1">
        <v>1</v>
      </c>
      <c r="Y76" s="10" t="s">
        <v>56</v>
      </c>
      <c r="Z76" s="10"/>
      <c r="AA76" s="10"/>
      <c r="AB76" s="10" t="s">
        <v>386</v>
      </c>
      <c r="AC76" s="32" t="s">
        <v>76</v>
      </c>
      <c r="AD76" s="10"/>
      <c r="AE76" s="10"/>
      <c r="AF76" s="10" t="s">
        <v>59</v>
      </c>
      <c r="AG76" s="10"/>
      <c r="AH76" s="10"/>
      <c r="AI76" s="38">
        <v>0.33333333333333331</v>
      </c>
      <c r="AJ76" s="38">
        <v>0.70833333333333337</v>
      </c>
      <c r="AK76" s="24">
        <v>0.83333333333333337</v>
      </c>
    </row>
    <row r="77" spans="1:42" ht="14.25" customHeight="1">
      <c r="A77">
        <v>136</v>
      </c>
      <c r="B77" s="1">
        <v>10550631</v>
      </c>
      <c r="C77" s="1" t="s">
        <v>415</v>
      </c>
      <c r="D77" s="1" t="s">
        <v>416</v>
      </c>
      <c r="E77" s="1" t="s">
        <v>417</v>
      </c>
      <c r="F77" s="1" t="str">
        <f>D77&amp;" "&amp;E77</f>
        <v>CHANTHA EAM</v>
      </c>
      <c r="G77" s="1" t="s">
        <v>416</v>
      </c>
      <c r="H77" s="1" t="s">
        <v>417</v>
      </c>
      <c r="I77" s="1">
        <v>10550631</v>
      </c>
      <c r="J77" s="1" t="s">
        <v>45</v>
      </c>
      <c r="K77" s="2">
        <v>45264</v>
      </c>
      <c r="L77" s="1" t="s">
        <v>66</v>
      </c>
      <c r="M77" s="1" t="s">
        <v>48</v>
      </c>
      <c r="N77" s="1" t="s">
        <v>48</v>
      </c>
      <c r="O77" s="2">
        <v>45177</v>
      </c>
      <c r="P77" s="2">
        <v>45177</v>
      </c>
      <c r="Q77" s="1">
        <v>10358476</v>
      </c>
      <c r="R77" s="1" t="s">
        <v>151</v>
      </c>
      <c r="S77" s="3" t="s">
        <v>51</v>
      </c>
      <c r="T77" s="1" t="s">
        <v>52</v>
      </c>
      <c r="U77" s="1" t="s">
        <v>53</v>
      </c>
      <c r="V77" s="1" t="s">
        <v>54</v>
      </c>
      <c r="W77" s="1" t="s">
        <v>418</v>
      </c>
      <c r="X77" s="1">
        <v>1</v>
      </c>
      <c r="Y77" s="10" t="s">
        <v>56</v>
      </c>
      <c r="Z77" s="10"/>
      <c r="AA77" s="10"/>
      <c r="AB77" s="10" t="s">
        <v>386</v>
      </c>
      <c r="AC77" s="32" t="s">
        <v>76</v>
      </c>
      <c r="AD77" s="10"/>
      <c r="AE77" s="10"/>
      <c r="AF77" s="10" t="s">
        <v>59</v>
      </c>
      <c r="AG77" s="10"/>
      <c r="AH77" s="10"/>
      <c r="AI77" s="38">
        <v>0.33333333333333331</v>
      </c>
      <c r="AJ77" s="38">
        <v>0.70833333333333337</v>
      </c>
      <c r="AK77" s="24">
        <v>0.83333333333333337</v>
      </c>
    </row>
    <row r="78" spans="1:42" ht="14.25" customHeight="1">
      <c r="A78">
        <v>254</v>
      </c>
      <c r="B78" s="1">
        <v>10658211</v>
      </c>
      <c r="C78" s="1" t="s">
        <v>92</v>
      </c>
      <c r="D78" s="1" t="s">
        <v>419</v>
      </c>
      <c r="E78" s="1" t="s">
        <v>420</v>
      </c>
      <c r="F78" s="1" t="str">
        <f>D78&amp;" "&amp;E78</f>
        <v>อำพล เจริญศรี</v>
      </c>
      <c r="G78" s="1" t="s">
        <v>421</v>
      </c>
      <c r="H78" s="1" t="s">
        <v>422</v>
      </c>
      <c r="I78" s="1">
        <v>10658211</v>
      </c>
      <c r="J78" s="1" t="s">
        <v>45</v>
      </c>
      <c r="K78" s="2">
        <v>45665</v>
      </c>
      <c r="L78" s="1" t="s">
        <v>66</v>
      </c>
      <c r="M78" s="1" t="s">
        <v>48</v>
      </c>
      <c r="N78" s="1" t="s">
        <v>48</v>
      </c>
      <c r="O78" s="1" t="s">
        <v>107</v>
      </c>
      <c r="P78" s="1" t="s">
        <v>107</v>
      </c>
      <c r="Q78" s="1">
        <v>10358476</v>
      </c>
      <c r="R78" s="1" t="s">
        <v>151</v>
      </c>
      <c r="S78" s="3" t="s">
        <v>51</v>
      </c>
      <c r="T78" s="1" t="s">
        <v>52</v>
      </c>
      <c r="U78" s="1" t="s">
        <v>53</v>
      </c>
      <c r="V78" s="1" t="s">
        <v>54</v>
      </c>
      <c r="W78" s="1" t="s">
        <v>55</v>
      </c>
      <c r="X78" s="1">
        <v>1</v>
      </c>
      <c r="Y78" s="10" t="s">
        <v>56</v>
      </c>
      <c r="Z78" s="10"/>
      <c r="AA78" s="10"/>
      <c r="AB78" s="10" t="s">
        <v>386</v>
      </c>
      <c r="AC78" s="32" t="s">
        <v>69</v>
      </c>
      <c r="AD78" s="10"/>
      <c r="AE78" s="10"/>
      <c r="AF78" s="10" t="s">
        <v>77</v>
      </c>
      <c r="AG78" s="10"/>
      <c r="AH78" s="10"/>
      <c r="AL78" s="38">
        <v>0.70833333333333337</v>
      </c>
      <c r="AM78" s="38">
        <v>8.3333333333333329E-2</v>
      </c>
      <c r="AN78" s="24">
        <v>0.25</v>
      </c>
    </row>
    <row r="79" spans="1:42" ht="14.25" customHeight="1">
      <c r="A79">
        <v>34</v>
      </c>
      <c r="B79" s="1">
        <v>10361541</v>
      </c>
      <c r="C79" s="1" t="s">
        <v>92</v>
      </c>
      <c r="D79" s="1" t="s">
        <v>423</v>
      </c>
      <c r="E79" s="1" t="s">
        <v>424</v>
      </c>
      <c r="F79" s="1" t="str">
        <f>D79&amp;" "&amp;E79</f>
        <v>สหชาติ มูลเงิน</v>
      </c>
      <c r="G79" s="1" t="s">
        <v>425</v>
      </c>
      <c r="H79" s="1" t="s">
        <v>426</v>
      </c>
      <c r="I79" s="1" t="s">
        <v>427</v>
      </c>
      <c r="J79" s="1" t="s">
        <v>45</v>
      </c>
      <c r="K79" s="2">
        <v>43467</v>
      </c>
      <c r="L79" s="1" t="s">
        <v>47</v>
      </c>
      <c r="M79" s="1" t="s">
        <v>48</v>
      </c>
      <c r="N79" s="1" t="s">
        <v>48</v>
      </c>
      <c r="O79" s="1" t="s">
        <v>428</v>
      </c>
      <c r="P79" s="1" t="s">
        <v>428</v>
      </c>
      <c r="Q79" s="1">
        <v>10405223</v>
      </c>
      <c r="R79" s="1" t="s">
        <v>429</v>
      </c>
      <c r="S79" s="3" t="s">
        <v>51</v>
      </c>
      <c r="T79" s="1" t="s">
        <v>52</v>
      </c>
      <c r="U79" s="1" t="s">
        <v>53</v>
      </c>
      <c r="V79" s="1" t="s">
        <v>54</v>
      </c>
      <c r="W79" s="1" t="s">
        <v>55</v>
      </c>
      <c r="X79" s="1">
        <v>1</v>
      </c>
      <c r="Y79" s="10" t="s">
        <v>56</v>
      </c>
      <c r="Z79" s="10"/>
      <c r="AA79" s="10"/>
      <c r="AB79" s="10" t="s">
        <v>386</v>
      </c>
      <c r="AC79" s="32" t="s">
        <v>212</v>
      </c>
      <c r="AD79" s="10"/>
      <c r="AE79" s="10"/>
      <c r="AF79" s="10" t="s">
        <v>77</v>
      </c>
      <c r="AG79" s="10"/>
      <c r="AH79" s="10"/>
      <c r="AL79" s="38">
        <v>0.70833333333333337</v>
      </c>
      <c r="AM79" s="38">
        <v>8.3333333333333329E-2</v>
      </c>
      <c r="AN79" s="24">
        <v>0.25</v>
      </c>
    </row>
    <row r="80" spans="1:42" ht="14.25" customHeight="1">
      <c r="B80">
        <v>10675929</v>
      </c>
      <c r="D80" t="s">
        <v>430</v>
      </c>
      <c r="E80" t="s">
        <v>431</v>
      </c>
      <c r="S80" s="3" t="s">
        <v>51</v>
      </c>
      <c r="AA80" s="10"/>
      <c r="AB80" s="10" t="s">
        <v>386</v>
      </c>
      <c r="AC80" s="33" t="s">
        <v>58</v>
      </c>
      <c r="AF80" s="10" t="s">
        <v>77</v>
      </c>
      <c r="AL80" s="38">
        <v>0.70833333333333337</v>
      </c>
      <c r="AM80" s="38">
        <v>8.3333333333333329E-2</v>
      </c>
      <c r="AN80" s="24">
        <v>0.25</v>
      </c>
    </row>
    <row r="81" spans="1:40" ht="14.25" customHeight="1">
      <c r="A81">
        <v>114</v>
      </c>
      <c r="B81" s="1">
        <v>10529505</v>
      </c>
      <c r="C81" s="1" t="s">
        <v>92</v>
      </c>
      <c r="D81" s="1" t="s">
        <v>432</v>
      </c>
      <c r="E81" s="1" t="s">
        <v>433</v>
      </c>
      <c r="F81" s="1" t="str">
        <f>D81&amp;" "&amp;E81</f>
        <v>ลิขิต แจ้งกมล</v>
      </c>
      <c r="G81" s="1" t="s">
        <v>434</v>
      </c>
      <c r="H81" s="1" t="s">
        <v>435</v>
      </c>
      <c r="I81" s="1">
        <v>10529505</v>
      </c>
      <c r="J81" s="1" t="s">
        <v>45</v>
      </c>
      <c r="K81" s="2">
        <v>44721</v>
      </c>
      <c r="L81" s="1" t="s">
        <v>66</v>
      </c>
      <c r="M81" s="1" t="s">
        <v>48</v>
      </c>
      <c r="N81" s="1" t="s">
        <v>48</v>
      </c>
      <c r="O81" s="2">
        <v>44986</v>
      </c>
      <c r="P81" s="2">
        <v>44986</v>
      </c>
      <c r="Q81" s="1">
        <v>10405194</v>
      </c>
      <c r="R81" s="1" t="s">
        <v>436</v>
      </c>
      <c r="S81" s="3" t="s">
        <v>51</v>
      </c>
      <c r="T81" s="1" t="s">
        <v>52</v>
      </c>
      <c r="U81" s="1" t="s">
        <v>53</v>
      </c>
      <c r="V81" s="1" t="s">
        <v>54</v>
      </c>
      <c r="W81" s="1" t="s">
        <v>55</v>
      </c>
      <c r="X81" s="1">
        <v>1</v>
      </c>
      <c r="Y81" s="10" t="s">
        <v>56</v>
      </c>
      <c r="Z81" s="10"/>
      <c r="AA81" s="10"/>
      <c r="AB81" s="10" t="s">
        <v>386</v>
      </c>
      <c r="AC81" s="32" t="s">
        <v>91</v>
      </c>
      <c r="AD81" s="10"/>
      <c r="AE81" s="10"/>
      <c r="AF81" s="10" t="s">
        <v>77</v>
      </c>
      <c r="AG81" s="10"/>
      <c r="AH81" s="10"/>
      <c r="AL81" s="38">
        <v>0.70833333333333337</v>
      </c>
      <c r="AM81" s="38">
        <v>8.3333333333333329E-2</v>
      </c>
      <c r="AN81" s="24">
        <v>0.25</v>
      </c>
    </row>
    <row r="82" spans="1:40" ht="14.25" customHeight="1">
      <c r="A82">
        <v>345</v>
      </c>
      <c r="B82" s="1">
        <v>10676717</v>
      </c>
      <c r="C82" s="1" t="s">
        <v>92</v>
      </c>
      <c r="D82" s="1" t="s">
        <v>437</v>
      </c>
      <c r="E82" s="1" t="s">
        <v>311</v>
      </c>
      <c r="F82" s="1" t="str">
        <f>D82&amp;" "&amp;E82</f>
        <v>พงษ์พิชัย เขียนสอาด</v>
      </c>
      <c r="G82" s="1" t="s">
        <v>438</v>
      </c>
      <c r="H82" s="1" t="s">
        <v>439</v>
      </c>
      <c r="I82" s="1">
        <v>10676717</v>
      </c>
      <c r="J82" s="1" t="s">
        <v>45</v>
      </c>
      <c r="K82" s="1" t="s">
        <v>440</v>
      </c>
      <c r="L82" s="1" t="s">
        <v>66</v>
      </c>
      <c r="M82" s="1" t="s">
        <v>48</v>
      </c>
      <c r="N82" s="1" t="s">
        <v>48</v>
      </c>
      <c r="O82" s="1" t="s">
        <v>441</v>
      </c>
      <c r="P82" s="1" t="s">
        <v>441</v>
      </c>
      <c r="Q82" s="1">
        <v>10358486</v>
      </c>
      <c r="R82" s="1" t="s">
        <v>68</v>
      </c>
      <c r="S82" s="3" t="s">
        <v>51</v>
      </c>
      <c r="T82" s="1" t="s">
        <v>52</v>
      </c>
      <c r="U82" s="1" t="s">
        <v>53</v>
      </c>
      <c r="V82" s="1" t="s">
        <v>54</v>
      </c>
      <c r="W82" s="1" t="s">
        <v>55</v>
      </c>
      <c r="X82" s="1">
        <v>1</v>
      </c>
      <c r="Y82" s="10" t="s">
        <v>56</v>
      </c>
      <c r="Z82" s="10"/>
      <c r="AA82" s="10"/>
      <c r="AB82" s="10" t="s">
        <v>386</v>
      </c>
      <c r="AC82" s="32" t="s">
        <v>69</v>
      </c>
      <c r="AD82" s="10"/>
      <c r="AE82" s="10"/>
      <c r="AF82" s="10" t="s">
        <v>77</v>
      </c>
      <c r="AG82" s="10"/>
      <c r="AH82" s="10"/>
      <c r="AL82" s="38">
        <v>0.70833333333333337</v>
      </c>
      <c r="AM82" s="38">
        <v>8.3333333333333329E-2</v>
      </c>
      <c r="AN82" s="24">
        <v>0.25</v>
      </c>
    </row>
    <row r="83" spans="1:40" ht="14.25" customHeight="1">
      <c r="A83">
        <v>147</v>
      </c>
      <c r="B83" s="1">
        <v>10561973</v>
      </c>
      <c r="C83" s="1" t="s">
        <v>92</v>
      </c>
      <c r="D83" s="1" t="s">
        <v>442</v>
      </c>
      <c r="E83" s="1" t="s">
        <v>443</v>
      </c>
      <c r="F83" s="1" t="str">
        <f>D83&amp;" "&amp;E83</f>
        <v>ชนะพล ก๊กพิทักษ์</v>
      </c>
      <c r="G83" s="1" t="s">
        <v>444</v>
      </c>
      <c r="H83" s="1" t="s">
        <v>445</v>
      </c>
      <c r="I83" s="1" t="s">
        <v>446</v>
      </c>
      <c r="J83" s="1" t="s">
        <v>45</v>
      </c>
      <c r="K83" s="2">
        <v>44933</v>
      </c>
      <c r="L83" s="1" t="s">
        <v>47</v>
      </c>
      <c r="M83" s="1" t="s">
        <v>48</v>
      </c>
      <c r="N83" s="1" t="s">
        <v>48</v>
      </c>
      <c r="O83" s="1" t="s">
        <v>447</v>
      </c>
      <c r="P83" s="1" t="s">
        <v>447</v>
      </c>
      <c r="Q83" s="1">
        <v>10405224</v>
      </c>
      <c r="R83" s="1" t="s">
        <v>50</v>
      </c>
      <c r="S83" s="3" t="s">
        <v>51</v>
      </c>
      <c r="T83" s="1" t="s">
        <v>52</v>
      </c>
      <c r="U83" s="1" t="s">
        <v>53</v>
      </c>
      <c r="V83" s="1" t="s">
        <v>54</v>
      </c>
      <c r="W83" s="1" t="s">
        <v>55</v>
      </c>
      <c r="X83" s="1">
        <v>1</v>
      </c>
      <c r="Y83" s="10" t="s">
        <v>56</v>
      </c>
      <c r="Z83" s="10"/>
      <c r="AA83" s="10"/>
      <c r="AB83" s="10" t="s">
        <v>448</v>
      </c>
      <c r="AC83" s="32" t="s">
        <v>102</v>
      </c>
      <c r="AD83" s="10"/>
      <c r="AE83" s="10"/>
      <c r="AF83" s="10"/>
      <c r="AG83" s="10"/>
      <c r="AH83" s="10"/>
    </row>
    <row r="84" spans="1:40" ht="14.25" customHeight="1">
      <c r="A84">
        <v>407</v>
      </c>
      <c r="B84" s="1">
        <v>10688543</v>
      </c>
      <c r="C84" s="1" t="s">
        <v>92</v>
      </c>
      <c r="D84" s="1" t="s">
        <v>449</v>
      </c>
      <c r="E84" s="1" t="s">
        <v>450</v>
      </c>
      <c r="F84" s="1" t="str">
        <f>D84&amp;" "&amp;E84</f>
        <v>ศักดิ์ชัย รุ่งสวัสดิ์</v>
      </c>
      <c r="G84" s="1" t="s">
        <v>451</v>
      </c>
      <c r="H84" s="1" t="s">
        <v>452</v>
      </c>
      <c r="I84" s="1">
        <v>10688543</v>
      </c>
      <c r="J84" s="1" t="s">
        <v>45</v>
      </c>
      <c r="K84" s="1" t="s">
        <v>453</v>
      </c>
      <c r="L84" s="1" t="s">
        <v>66</v>
      </c>
      <c r="M84" s="1" t="s">
        <v>48</v>
      </c>
      <c r="N84" s="1" t="s">
        <v>98</v>
      </c>
      <c r="O84" s="1" t="s">
        <v>454</v>
      </c>
      <c r="P84" s="1" t="s">
        <v>100</v>
      </c>
      <c r="Q84" s="1">
        <v>10358486</v>
      </c>
      <c r="R84" s="1" t="s">
        <v>68</v>
      </c>
      <c r="S84" s="3" t="s">
        <v>51</v>
      </c>
      <c r="T84" s="1" t="s">
        <v>52</v>
      </c>
      <c r="U84" s="1" t="s">
        <v>53</v>
      </c>
      <c r="V84" s="1" t="s">
        <v>54</v>
      </c>
      <c r="W84" s="1" t="s">
        <v>55</v>
      </c>
      <c r="X84" s="1">
        <v>1</v>
      </c>
      <c r="Y84" s="10" t="s">
        <v>56</v>
      </c>
      <c r="Z84" s="10"/>
      <c r="AA84" s="10"/>
      <c r="AB84" s="10"/>
      <c r="AC84" s="32"/>
      <c r="AD84" s="10"/>
      <c r="AE84" s="10"/>
      <c r="AF84" s="10"/>
      <c r="AG84" s="10"/>
      <c r="AH84" s="10"/>
    </row>
    <row r="85" spans="1:40" ht="14.25" customHeight="1">
      <c r="A85">
        <v>8</v>
      </c>
      <c r="B85" s="1">
        <v>10251629</v>
      </c>
      <c r="C85" s="1" t="s">
        <v>92</v>
      </c>
      <c r="D85" s="1" t="s">
        <v>455</v>
      </c>
      <c r="E85" s="1" t="s">
        <v>456</v>
      </c>
      <c r="F85" s="1" t="str">
        <f>D85&amp;" "&amp;E85</f>
        <v>ภัทรพงษ์ ภากร</v>
      </c>
      <c r="G85" s="1" t="s">
        <v>457</v>
      </c>
      <c r="H85" s="1" t="s">
        <v>458</v>
      </c>
      <c r="I85" s="1" t="s">
        <v>459</v>
      </c>
      <c r="J85" s="1" t="s">
        <v>45</v>
      </c>
      <c r="K85" s="2">
        <v>42010</v>
      </c>
      <c r="L85" s="1" t="s">
        <v>47</v>
      </c>
      <c r="M85" s="1" t="s">
        <v>48</v>
      </c>
      <c r="N85" s="1" t="s">
        <v>48</v>
      </c>
      <c r="O85" s="1" t="s">
        <v>460</v>
      </c>
      <c r="P85" s="1" t="s">
        <v>460</v>
      </c>
      <c r="Q85" s="1">
        <v>10404289</v>
      </c>
      <c r="R85" s="1" t="s">
        <v>461</v>
      </c>
      <c r="S85" s="3" t="s">
        <v>51</v>
      </c>
      <c r="T85" s="1" t="s">
        <v>52</v>
      </c>
      <c r="U85" s="1" t="s">
        <v>53</v>
      </c>
      <c r="V85" s="1" t="s">
        <v>54</v>
      </c>
      <c r="W85" s="1" t="s">
        <v>55</v>
      </c>
      <c r="X85" s="1">
        <v>1</v>
      </c>
      <c r="Y85" s="10" t="s">
        <v>56</v>
      </c>
      <c r="Z85" s="10"/>
      <c r="AA85" s="10"/>
      <c r="AB85" s="10"/>
      <c r="AC85" s="32"/>
      <c r="AD85" s="10"/>
      <c r="AE85" s="10"/>
      <c r="AF85" s="10"/>
      <c r="AG85" s="10"/>
      <c r="AH85" s="10"/>
    </row>
    <row r="86" spans="1:40" ht="14.25" customHeight="1">
      <c r="A86">
        <v>409</v>
      </c>
      <c r="B86" s="1">
        <v>10691387</v>
      </c>
      <c r="C86" s="1" t="s">
        <v>39</v>
      </c>
      <c r="D86" s="1" t="s">
        <v>462</v>
      </c>
      <c r="E86" s="1" t="s">
        <v>463</v>
      </c>
      <c r="F86" s="1" t="str">
        <f>D86&amp;" "&amp;E86</f>
        <v>ผกามาศ หอมจันทร์</v>
      </c>
      <c r="G86" s="1" t="s">
        <v>464</v>
      </c>
      <c r="H86" s="1" t="s">
        <v>465</v>
      </c>
      <c r="I86" s="1">
        <v>10691387</v>
      </c>
      <c r="J86" s="1" t="s">
        <v>45</v>
      </c>
      <c r="K86" s="2">
        <v>46026</v>
      </c>
      <c r="L86" s="1" t="s">
        <v>66</v>
      </c>
      <c r="M86" s="1" t="s">
        <v>48</v>
      </c>
      <c r="N86" s="1" t="s">
        <v>98</v>
      </c>
      <c r="O86" s="1" t="s">
        <v>466</v>
      </c>
      <c r="P86" s="1" t="s">
        <v>100</v>
      </c>
      <c r="Q86" s="1">
        <v>10405192</v>
      </c>
      <c r="R86" s="1" t="s">
        <v>83</v>
      </c>
      <c r="S86" s="3" t="s">
        <v>51</v>
      </c>
      <c r="T86" s="1" t="s">
        <v>52</v>
      </c>
      <c r="U86" s="1" t="s">
        <v>53</v>
      </c>
      <c r="V86" s="1" t="s">
        <v>54</v>
      </c>
      <c r="W86" s="1" t="s">
        <v>55</v>
      </c>
      <c r="X86" s="1">
        <v>1</v>
      </c>
      <c r="Y86" s="10" t="s">
        <v>56</v>
      </c>
      <c r="Z86" s="10"/>
      <c r="AA86" s="10"/>
      <c r="AB86" s="10"/>
      <c r="AC86" s="32"/>
      <c r="AD86" s="10"/>
      <c r="AE86" s="10"/>
      <c r="AF86" s="10"/>
      <c r="AG86" s="10"/>
      <c r="AH86" s="10"/>
    </row>
    <row r="87" spans="1:40" ht="14.25" customHeight="1">
      <c r="A87">
        <v>397</v>
      </c>
      <c r="B87" s="1">
        <v>10688367</v>
      </c>
      <c r="C87" s="1" t="s">
        <v>92</v>
      </c>
      <c r="D87" s="1" t="s">
        <v>467</v>
      </c>
      <c r="E87" s="1" t="s">
        <v>468</v>
      </c>
      <c r="F87" s="1" t="str">
        <f>D87&amp;" "&amp;E87</f>
        <v>ธีระนัย บางสุวรรณ์</v>
      </c>
      <c r="G87" s="1" t="s">
        <v>469</v>
      </c>
      <c r="H87" s="1" t="s">
        <v>470</v>
      </c>
      <c r="I87" s="1">
        <v>10688367</v>
      </c>
      <c r="J87" s="1" t="s">
        <v>45</v>
      </c>
      <c r="K87" s="1" t="s">
        <v>471</v>
      </c>
      <c r="L87" s="1" t="s">
        <v>66</v>
      </c>
      <c r="M87" s="1" t="s">
        <v>48</v>
      </c>
      <c r="N87" s="1" t="s">
        <v>98</v>
      </c>
      <c r="O87" s="1" t="s">
        <v>472</v>
      </c>
      <c r="P87" s="1" t="s">
        <v>100</v>
      </c>
      <c r="Q87" s="1">
        <v>10358486</v>
      </c>
      <c r="R87" s="1" t="s">
        <v>68</v>
      </c>
      <c r="S87" s="3" t="s">
        <v>51</v>
      </c>
      <c r="T87" s="1" t="s">
        <v>52</v>
      </c>
      <c r="U87" s="1" t="s">
        <v>53</v>
      </c>
      <c r="V87" s="1" t="s">
        <v>54</v>
      </c>
      <c r="W87" s="1" t="s">
        <v>55</v>
      </c>
      <c r="X87" s="1">
        <v>1</v>
      </c>
      <c r="Y87" s="10" t="s">
        <v>56</v>
      </c>
      <c r="Z87" s="10"/>
      <c r="AA87" s="10"/>
      <c r="AB87" s="10"/>
      <c r="AC87" s="32"/>
      <c r="AD87" s="10"/>
      <c r="AE87" s="10"/>
      <c r="AF87" s="10"/>
      <c r="AG87" s="10"/>
      <c r="AH87" s="10"/>
    </row>
    <row r="88" spans="1:40" ht="14.25" customHeight="1">
      <c r="A88">
        <v>416</v>
      </c>
      <c r="B88" s="1">
        <v>10691655</v>
      </c>
      <c r="C88" s="1" t="s">
        <v>92</v>
      </c>
      <c r="D88" s="1" t="s">
        <v>473</v>
      </c>
      <c r="E88" s="1" t="s">
        <v>474</v>
      </c>
      <c r="F88" s="1" t="str">
        <f>D88&amp;" "&amp;E88</f>
        <v>ธนวัฒน์ บัวเขียว</v>
      </c>
      <c r="G88" s="1" t="s">
        <v>475</v>
      </c>
      <c r="H88" s="1" t="s">
        <v>476</v>
      </c>
      <c r="I88" s="1">
        <v>10691655</v>
      </c>
      <c r="J88" s="1" t="s">
        <v>45</v>
      </c>
      <c r="K88" s="2">
        <v>46238</v>
      </c>
      <c r="L88" s="1" t="s">
        <v>66</v>
      </c>
      <c r="M88" s="1" t="s">
        <v>48</v>
      </c>
      <c r="N88" s="1" t="s">
        <v>98</v>
      </c>
      <c r="O88" s="2">
        <v>46150</v>
      </c>
      <c r="P88" s="1" t="s">
        <v>100</v>
      </c>
      <c r="Q88" s="1">
        <v>10358486</v>
      </c>
      <c r="R88" s="1" t="s">
        <v>68</v>
      </c>
      <c r="S88" s="3" t="s">
        <v>51</v>
      </c>
      <c r="T88" s="1" t="s">
        <v>52</v>
      </c>
      <c r="U88" s="1" t="s">
        <v>53</v>
      </c>
      <c r="V88" s="1" t="s">
        <v>54</v>
      </c>
      <c r="W88" s="1" t="s">
        <v>55</v>
      </c>
      <c r="X88" s="1">
        <v>1</v>
      </c>
      <c r="Y88" s="10" t="s">
        <v>56</v>
      </c>
      <c r="Z88" s="10"/>
      <c r="AA88" s="10"/>
      <c r="AB88" s="10"/>
      <c r="AC88" s="32"/>
      <c r="AD88" s="10"/>
      <c r="AE88" s="10"/>
      <c r="AF88" s="10"/>
      <c r="AG88" s="10"/>
      <c r="AH88" s="10"/>
    </row>
    <row r="89" spans="1:40" ht="14.25" customHeight="1">
      <c r="A89">
        <v>414</v>
      </c>
      <c r="B89" s="1">
        <v>10691406</v>
      </c>
      <c r="C89" s="1" t="s">
        <v>92</v>
      </c>
      <c r="D89" s="1" t="s">
        <v>477</v>
      </c>
      <c r="E89" s="1" t="s">
        <v>478</v>
      </c>
      <c r="F89" s="1" t="str">
        <f>D89&amp;" "&amp;E89</f>
        <v>ดิลก มัทราช</v>
      </c>
      <c r="G89" s="1" t="s">
        <v>479</v>
      </c>
      <c r="H89" s="1" t="s">
        <v>480</v>
      </c>
      <c r="I89" s="1">
        <v>10691406</v>
      </c>
      <c r="J89" s="1" t="s">
        <v>45</v>
      </c>
      <c r="K89" s="2">
        <v>46026</v>
      </c>
      <c r="L89" s="1" t="s">
        <v>66</v>
      </c>
      <c r="M89" s="1" t="s">
        <v>48</v>
      </c>
      <c r="N89" s="1" t="s">
        <v>98</v>
      </c>
      <c r="O89" s="1" t="s">
        <v>466</v>
      </c>
      <c r="P89" s="1" t="s">
        <v>100</v>
      </c>
      <c r="Q89" s="1">
        <v>10358486</v>
      </c>
      <c r="R89" s="1" t="s">
        <v>68</v>
      </c>
      <c r="S89" s="3" t="s">
        <v>51</v>
      </c>
      <c r="T89" s="1" t="s">
        <v>52</v>
      </c>
      <c r="U89" s="1" t="s">
        <v>53</v>
      </c>
      <c r="V89" s="1" t="s">
        <v>54</v>
      </c>
      <c r="W89" s="1" t="s">
        <v>55</v>
      </c>
      <c r="X89" s="1">
        <v>1</v>
      </c>
      <c r="Y89" s="10" t="s">
        <v>56</v>
      </c>
      <c r="Z89" s="10"/>
      <c r="AA89" s="10"/>
      <c r="AB89" s="10"/>
      <c r="AC89" s="32"/>
      <c r="AD89" s="10"/>
      <c r="AE89" s="10"/>
      <c r="AF89" s="10"/>
      <c r="AG89" s="10"/>
      <c r="AH89" s="10"/>
    </row>
    <row r="90" spans="1:40" ht="14.25" customHeight="1">
      <c r="A90">
        <v>396</v>
      </c>
      <c r="B90" s="1">
        <v>10688363</v>
      </c>
      <c r="C90" s="1" t="s">
        <v>92</v>
      </c>
      <c r="D90" s="1" t="s">
        <v>213</v>
      </c>
      <c r="E90" s="1" t="s">
        <v>481</v>
      </c>
      <c r="F90" s="1" t="str">
        <f>D90&amp;" "&amp;E90</f>
        <v>ณัฐพล จันทร์สีขาว</v>
      </c>
      <c r="G90" s="1" t="s">
        <v>482</v>
      </c>
      <c r="H90" s="1" t="s">
        <v>483</v>
      </c>
      <c r="I90" s="1">
        <v>10688363</v>
      </c>
      <c r="J90" s="1" t="s">
        <v>45</v>
      </c>
      <c r="K90" s="1" t="s">
        <v>471</v>
      </c>
      <c r="L90" s="1" t="s">
        <v>66</v>
      </c>
      <c r="M90" s="1" t="s">
        <v>48</v>
      </c>
      <c r="N90" s="1" t="s">
        <v>98</v>
      </c>
      <c r="O90" s="1" t="s">
        <v>472</v>
      </c>
      <c r="P90" s="1" t="s">
        <v>100</v>
      </c>
      <c r="Q90" s="1">
        <v>10358476</v>
      </c>
      <c r="R90" s="1" t="s">
        <v>151</v>
      </c>
      <c r="S90" s="3" t="s">
        <v>51</v>
      </c>
      <c r="T90" s="1" t="s">
        <v>52</v>
      </c>
      <c r="U90" s="1" t="s">
        <v>53</v>
      </c>
      <c r="V90" s="1" t="s">
        <v>54</v>
      </c>
      <c r="W90" s="1" t="s">
        <v>55</v>
      </c>
      <c r="X90" s="1">
        <v>1</v>
      </c>
      <c r="Y90" s="10" t="s">
        <v>56</v>
      </c>
      <c r="Z90" s="10"/>
      <c r="AA90" s="10"/>
      <c r="AB90" s="10"/>
      <c r="AC90" s="32"/>
      <c r="AD90" s="10"/>
      <c r="AE90" s="10"/>
      <c r="AF90" s="10"/>
      <c r="AG90" s="10"/>
      <c r="AH90" s="10"/>
    </row>
    <row r="91" spans="1:40" ht="14.25" customHeight="1">
      <c r="A91">
        <v>131</v>
      </c>
      <c r="B91" s="1">
        <v>10545042</v>
      </c>
      <c r="C91" s="1" t="s">
        <v>39</v>
      </c>
      <c r="D91" s="1" t="s">
        <v>484</v>
      </c>
      <c r="E91" s="1" t="s">
        <v>485</v>
      </c>
      <c r="F91" s="1" t="str">
        <f>D91&amp;" "&amp;E91</f>
        <v>เกวลิน สาระ</v>
      </c>
      <c r="G91" s="1" t="s">
        <v>486</v>
      </c>
      <c r="H91" s="1" t="s">
        <v>487</v>
      </c>
      <c r="I91" s="1" t="s">
        <v>488</v>
      </c>
      <c r="J91" s="1" t="s">
        <v>45</v>
      </c>
      <c r="K91" s="2">
        <v>44929</v>
      </c>
      <c r="L91" s="1" t="s">
        <v>47</v>
      </c>
      <c r="M91" s="1" t="s">
        <v>48</v>
      </c>
      <c r="N91" s="1" t="s">
        <v>48</v>
      </c>
      <c r="O91" s="1" t="s">
        <v>489</v>
      </c>
      <c r="P91" s="1" t="s">
        <v>489</v>
      </c>
      <c r="Q91" s="1">
        <v>10289861</v>
      </c>
      <c r="R91" s="1" t="s">
        <v>490</v>
      </c>
      <c r="S91" s="3" t="s">
        <v>51</v>
      </c>
      <c r="T91" s="1" t="s">
        <v>52</v>
      </c>
      <c r="U91" s="1" t="s">
        <v>53</v>
      </c>
      <c r="V91" s="1" t="s">
        <v>54</v>
      </c>
      <c r="W91" s="1" t="s">
        <v>55</v>
      </c>
      <c r="X91" s="1">
        <v>1</v>
      </c>
      <c r="Y91" s="10" t="s">
        <v>56</v>
      </c>
      <c r="Z91" s="10"/>
      <c r="AA91" s="10"/>
      <c r="AB91" s="10"/>
      <c r="AC91" s="32"/>
      <c r="AD91" s="10"/>
      <c r="AE91" s="10"/>
      <c r="AF91" s="10"/>
      <c r="AG91" s="10"/>
      <c r="AH91" s="10"/>
    </row>
    <row r="92" spans="1:40" ht="14.25" customHeight="1">
      <c r="A92">
        <v>411</v>
      </c>
      <c r="B92" s="1">
        <v>10691401</v>
      </c>
      <c r="C92" s="1" t="s">
        <v>92</v>
      </c>
      <c r="D92" s="1" t="s">
        <v>491</v>
      </c>
      <c r="E92" s="1" t="s">
        <v>492</v>
      </c>
      <c r="F92" s="1" t="str">
        <f>D92&amp;" "&amp;E92</f>
        <v>กฤษณ์ กำทรัพย์</v>
      </c>
      <c r="G92" s="1" t="s">
        <v>493</v>
      </c>
      <c r="H92" s="1" t="s">
        <v>494</v>
      </c>
      <c r="I92" s="1">
        <v>10691401</v>
      </c>
      <c r="J92" s="1" t="s">
        <v>45</v>
      </c>
      <c r="K92" s="2">
        <v>46026</v>
      </c>
      <c r="L92" s="1" t="s">
        <v>66</v>
      </c>
      <c r="M92" s="1" t="s">
        <v>48</v>
      </c>
      <c r="N92" s="1" t="s">
        <v>98</v>
      </c>
      <c r="O92" s="1" t="s">
        <v>466</v>
      </c>
      <c r="P92" s="1" t="s">
        <v>100</v>
      </c>
      <c r="Q92" s="1">
        <v>10358486</v>
      </c>
      <c r="R92" s="1" t="s">
        <v>68</v>
      </c>
      <c r="S92" s="3" t="s">
        <v>51</v>
      </c>
      <c r="T92" s="1" t="s">
        <v>52</v>
      </c>
      <c r="U92" s="1" t="s">
        <v>53</v>
      </c>
      <c r="V92" s="1" t="s">
        <v>54</v>
      </c>
      <c r="W92" s="1" t="s">
        <v>55</v>
      </c>
      <c r="X92" s="1">
        <v>1</v>
      </c>
      <c r="Y92" s="10" t="s">
        <v>56</v>
      </c>
      <c r="Z92" s="10"/>
      <c r="AA92" s="10"/>
      <c r="AB92" s="10"/>
      <c r="AC92" s="32"/>
      <c r="AD92" s="10"/>
      <c r="AE92" s="10"/>
      <c r="AF92" s="10"/>
      <c r="AG92" s="10"/>
      <c r="AH92" s="10"/>
    </row>
    <row r="93" spans="1:40" ht="14.25" customHeight="1">
      <c r="A93">
        <v>162</v>
      </c>
      <c r="B93" s="1">
        <v>10590628</v>
      </c>
      <c r="C93" s="1" t="s">
        <v>39</v>
      </c>
      <c r="D93" s="1" t="s">
        <v>495</v>
      </c>
      <c r="E93" s="1" t="s">
        <v>496</v>
      </c>
      <c r="F93" s="1" t="str">
        <f>D93&amp;" "&amp;E93</f>
        <v>สุภาพร คำประดิษฐ</v>
      </c>
      <c r="G93" s="1" t="s">
        <v>497</v>
      </c>
      <c r="H93" s="1" t="s">
        <v>498</v>
      </c>
      <c r="I93" s="1">
        <v>10590628</v>
      </c>
      <c r="J93" s="1" t="s">
        <v>45</v>
      </c>
      <c r="K93" s="1" t="s">
        <v>499</v>
      </c>
      <c r="L93" s="1" t="s">
        <v>66</v>
      </c>
      <c r="M93" s="1" t="s">
        <v>48</v>
      </c>
      <c r="N93" s="1" t="s">
        <v>48</v>
      </c>
      <c r="O93" s="1" t="s">
        <v>500</v>
      </c>
      <c r="P93" s="1" t="s">
        <v>500</v>
      </c>
      <c r="Q93" s="1">
        <v>10320649</v>
      </c>
      <c r="R93" s="1" t="s">
        <v>501</v>
      </c>
      <c r="S93" s="3" t="s">
        <v>502</v>
      </c>
      <c r="T93" s="1" t="s">
        <v>52</v>
      </c>
      <c r="U93" s="1" t="s">
        <v>53</v>
      </c>
      <c r="V93" s="1" t="s">
        <v>54</v>
      </c>
      <c r="W93" s="1" t="s">
        <v>55</v>
      </c>
      <c r="X93" s="1">
        <v>1</v>
      </c>
      <c r="AA93" s="10"/>
      <c r="AB93" s="33" t="s">
        <v>503</v>
      </c>
      <c r="AC93" s="33" t="s">
        <v>58</v>
      </c>
      <c r="AE93" t="s">
        <v>504</v>
      </c>
      <c r="AF93" s="10" t="s">
        <v>59</v>
      </c>
      <c r="AI93" s="24">
        <v>0.20833333333333334</v>
      </c>
      <c r="AJ93" s="24">
        <v>0.58333333333333337</v>
      </c>
    </row>
    <row r="94" spans="1:40" ht="14.25" customHeight="1">
      <c r="A94">
        <v>195</v>
      </c>
      <c r="B94" s="1">
        <v>10621537</v>
      </c>
      <c r="C94" s="1" t="s">
        <v>39</v>
      </c>
      <c r="D94" s="1" t="s">
        <v>505</v>
      </c>
      <c r="E94" s="1" t="s">
        <v>383</v>
      </c>
      <c r="F94" s="1" t="str">
        <f>D94&amp;" "&amp;E94</f>
        <v>เบญจมาส โพธิ์ศรี</v>
      </c>
      <c r="G94" s="1" t="s">
        <v>506</v>
      </c>
      <c r="H94" s="1" t="s">
        <v>507</v>
      </c>
      <c r="I94" s="1">
        <v>10621537</v>
      </c>
      <c r="J94" s="1" t="s">
        <v>45</v>
      </c>
      <c r="K94" s="1" t="s">
        <v>508</v>
      </c>
      <c r="L94" s="1" t="s">
        <v>66</v>
      </c>
      <c r="M94" s="1" t="s">
        <v>48</v>
      </c>
      <c r="N94" s="1" t="s">
        <v>48</v>
      </c>
      <c r="O94" s="1" t="s">
        <v>509</v>
      </c>
      <c r="P94" s="1" t="s">
        <v>509</v>
      </c>
      <c r="Q94" s="1">
        <v>10320649</v>
      </c>
      <c r="R94" s="1" t="s">
        <v>501</v>
      </c>
      <c r="S94" s="3" t="s">
        <v>502</v>
      </c>
      <c r="T94" s="1" t="s">
        <v>52</v>
      </c>
      <c r="U94" s="1" t="s">
        <v>53</v>
      </c>
      <c r="V94" s="1" t="s">
        <v>54</v>
      </c>
      <c r="W94" s="1" t="s">
        <v>55</v>
      </c>
      <c r="X94" s="1">
        <v>1</v>
      </c>
      <c r="AA94" s="10"/>
      <c r="AB94" s="33" t="s">
        <v>503</v>
      </c>
      <c r="AC94" s="33" t="s">
        <v>102</v>
      </c>
      <c r="AE94" t="s">
        <v>504</v>
      </c>
      <c r="AF94" s="10" t="s">
        <v>59</v>
      </c>
      <c r="AI94" s="24">
        <v>0.20833333333333334</v>
      </c>
      <c r="AJ94" s="24">
        <v>0.58333333333333337</v>
      </c>
    </row>
    <row r="95" spans="1:40" ht="14.25" customHeight="1">
      <c r="A95">
        <v>49</v>
      </c>
      <c r="B95" s="1">
        <v>10392242</v>
      </c>
      <c r="C95" s="1" t="s">
        <v>39</v>
      </c>
      <c r="D95" s="1" t="s">
        <v>510</v>
      </c>
      <c r="E95" s="1" t="s">
        <v>511</v>
      </c>
      <c r="F95" s="1" t="str">
        <f>D95&amp;" "&amp;E95</f>
        <v>นพพร คำจำรูญ</v>
      </c>
      <c r="G95" s="1" t="s">
        <v>512</v>
      </c>
      <c r="H95" s="1" t="s">
        <v>513</v>
      </c>
      <c r="I95" s="1" t="s">
        <v>514</v>
      </c>
      <c r="J95" s="1" t="s">
        <v>45</v>
      </c>
      <c r="K95" s="1" t="s">
        <v>515</v>
      </c>
      <c r="L95" s="1" t="s">
        <v>47</v>
      </c>
      <c r="M95" s="1" t="s">
        <v>48</v>
      </c>
      <c r="N95" s="1" t="s">
        <v>48</v>
      </c>
      <c r="O95" s="1" t="s">
        <v>516</v>
      </c>
      <c r="P95" s="1" t="s">
        <v>516</v>
      </c>
      <c r="Q95" s="1">
        <v>10321099</v>
      </c>
      <c r="R95" s="1" t="s">
        <v>517</v>
      </c>
      <c r="S95" s="3" t="s">
        <v>502</v>
      </c>
      <c r="T95" s="1" t="s">
        <v>52</v>
      </c>
      <c r="U95" s="1" t="s">
        <v>53</v>
      </c>
      <c r="V95" s="1" t="s">
        <v>54</v>
      </c>
      <c r="W95" s="1" t="s">
        <v>55</v>
      </c>
      <c r="X95" s="1">
        <v>1</v>
      </c>
      <c r="AA95" s="10"/>
      <c r="AB95" s="33" t="s">
        <v>503</v>
      </c>
      <c r="AC95" s="33" t="s">
        <v>102</v>
      </c>
      <c r="AE95" t="s">
        <v>504</v>
      </c>
      <c r="AF95" s="10" t="s">
        <v>59</v>
      </c>
      <c r="AI95" s="24">
        <v>0.20833333333333334</v>
      </c>
      <c r="AJ95" s="24">
        <v>0.58333333333333337</v>
      </c>
    </row>
    <row r="96" spans="1:40" ht="14.25" customHeight="1">
      <c r="A96">
        <v>48</v>
      </c>
      <c r="B96" s="1">
        <v>10392237</v>
      </c>
      <c r="C96" s="1" t="s">
        <v>92</v>
      </c>
      <c r="D96" s="1" t="s">
        <v>518</v>
      </c>
      <c r="E96" s="1" t="s">
        <v>519</v>
      </c>
      <c r="F96" s="1" t="str">
        <f>D96&amp;" "&amp;E96</f>
        <v>ศิกวัส ภู่พัฒน์</v>
      </c>
      <c r="G96" s="1" t="s">
        <v>520</v>
      </c>
      <c r="H96" s="1" t="s">
        <v>521</v>
      </c>
      <c r="I96" s="1">
        <v>10392237</v>
      </c>
      <c r="J96" s="1" t="s">
        <v>45</v>
      </c>
      <c r="K96" s="1" t="s">
        <v>515</v>
      </c>
      <c r="L96" s="1" t="s">
        <v>66</v>
      </c>
      <c r="M96" s="1" t="s">
        <v>48</v>
      </c>
      <c r="N96" s="1" t="s">
        <v>48</v>
      </c>
      <c r="O96" s="1" t="s">
        <v>516</v>
      </c>
      <c r="P96" s="1" t="s">
        <v>516</v>
      </c>
      <c r="Q96" s="1">
        <v>10320649</v>
      </c>
      <c r="R96" s="1" t="s">
        <v>501</v>
      </c>
      <c r="S96" s="3" t="s">
        <v>502</v>
      </c>
      <c r="T96" s="1" t="s">
        <v>52</v>
      </c>
      <c r="U96" s="1" t="s">
        <v>53</v>
      </c>
      <c r="V96" s="1" t="s">
        <v>54</v>
      </c>
      <c r="W96" s="1" t="s">
        <v>55</v>
      </c>
      <c r="X96" s="1">
        <v>1</v>
      </c>
      <c r="AA96" s="10"/>
      <c r="AB96" s="33" t="s">
        <v>503</v>
      </c>
      <c r="AC96" s="33" t="s">
        <v>102</v>
      </c>
      <c r="AE96" t="s">
        <v>522</v>
      </c>
      <c r="AF96" s="10" t="s">
        <v>59</v>
      </c>
      <c r="AI96" s="24">
        <v>0.25</v>
      </c>
      <c r="AJ96" s="24">
        <v>0.625</v>
      </c>
    </row>
    <row r="97" spans="1:39" ht="14.25" customHeight="1">
      <c r="A97">
        <v>107</v>
      </c>
      <c r="B97" s="1">
        <v>10513272</v>
      </c>
      <c r="C97" s="1" t="s">
        <v>39</v>
      </c>
      <c r="D97" s="1" t="s">
        <v>523</v>
      </c>
      <c r="E97" s="1" t="s">
        <v>524</v>
      </c>
      <c r="F97" s="1" t="str">
        <f>D97&amp;" "&amp;E97</f>
        <v>อรัญญา วงษ์ตา</v>
      </c>
      <c r="G97" s="1" t="s">
        <v>525</v>
      </c>
      <c r="H97" s="1" t="s">
        <v>526</v>
      </c>
      <c r="I97" s="1">
        <v>10513272</v>
      </c>
      <c r="J97" s="1" t="s">
        <v>45</v>
      </c>
      <c r="K97" s="2">
        <v>44565</v>
      </c>
      <c r="L97" s="1" t="s">
        <v>66</v>
      </c>
      <c r="M97" s="1" t="s">
        <v>48</v>
      </c>
      <c r="N97" s="1" t="s">
        <v>48</v>
      </c>
      <c r="O97" s="1" t="s">
        <v>527</v>
      </c>
      <c r="P97" s="1" t="s">
        <v>527</v>
      </c>
      <c r="Q97" s="1">
        <v>10320649</v>
      </c>
      <c r="R97" s="1" t="s">
        <v>501</v>
      </c>
      <c r="S97" s="3" t="s">
        <v>502</v>
      </c>
      <c r="T97" s="1" t="s">
        <v>52</v>
      </c>
      <c r="U97" s="1" t="s">
        <v>53</v>
      </c>
      <c r="V97" s="1" t="s">
        <v>54</v>
      </c>
      <c r="W97" s="1" t="s">
        <v>55</v>
      </c>
      <c r="X97" s="1">
        <v>1</v>
      </c>
      <c r="AA97" s="10"/>
      <c r="AB97" s="33" t="s">
        <v>503</v>
      </c>
      <c r="AC97" s="33" t="s">
        <v>69</v>
      </c>
      <c r="AE97" t="s">
        <v>528</v>
      </c>
      <c r="AF97" s="10" t="s">
        <v>59</v>
      </c>
      <c r="AI97" s="24">
        <v>0.33333333333333331</v>
      </c>
      <c r="AJ97" s="24">
        <v>0.70833333333333337</v>
      </c>
    </row>
    <row r="98" spans="1:39" ht="14.25" customHeight="1">
      <c r="A98">
        <v>403</v>
      </c>
      <c r="B98" s="1">
        <v>10688526</v>
      </c>
      <c r="C98" s="1" t="s">
        <v>39</v>
      </c>
      <c r="D98" s="1" t="s">
        <v>529</v>
      </c>
      <c r="E98" s="1" t="s">
        <v>530</v>
      </c>
      <c r="F98" s="1" t="str">
        <f>D98&amp;" "&amp;E98</f>
        <v>สุนิษา เฉลยมนต์</v>
      </c>
      <c r="G98" s="1" t="s">
        <v>531</v>
      </c>
      <c r="H98" s="1" t="s">
        <v>532</v>
      </c>
      <c r="I98" s="1">
        <v>10688526</v>
      </c>
      <c r="J98" s="1" t="s">
        <v>45</v>
      </c>
      <c r="K98" s="1" t="s">
        <v>453</v>
      </c>
      <c r="L98" s="1" t="s">
        <v>66</v>
      </c>
      <c r="M98" s="1" t="s">
        <v>48</v>
      </c>
      <c r="N98" s="1" t="s">
        <v>98</v>
      </c>
      <c r="O98" s="1" t="s">
        <v>454</v>
      </c>
      <c r="P98" s="1" t="s">
        <v>100</v>
      </c>
      <c r="Q98" s="1">
        <v>10320649</v>
      </c>
      <c r="R98" s="1" t="s">
        <v>501</v>
      </c>
      <c r="S98" s="3" t="s">
        <v>502</v>
      </c>
      <c r="T98" s="1" t="s">
        <v>52</v>
      </c>
      <c r="U98" s="1" t="s">
        <v>53</v>
      </c>
      <c r="V98" s="1" t="s">
        <v>54</v>
      </c>
      <c r="W98" s="1" t="s">
        <v>55</v>
      </c>
      <c r="X98" s="1">
        <v>1</v>
      </c>
      <c r="AA98" s="10"/>
      <c r="AB98" s="33" t="s">
        <v>503</v>
      </c>
      <c r="AC98" s="33" t="s">
        <v>138</v>
      </c>
      <c r="AF98" s="10" t="s">
        <v>59</v>
      </c>
      <c r="AI98" s="24">
        <v>0.33333333333333331</v>
      </c>
      <c r="AJ98" s="24">
        <v>0.54166666666666663</v>
      </c>
    </row>
    <row r="99" spans="1:39" ht="14.25" customHeight="1">
      <c r="A99">
        <v>391</v>
      </c>
      <c r="B99" s="1">
        <v>10688343</v>
      </c>
      <c r="C99" s="1" t="s">
        <v>39</v>
      </c>
      <c r="D99" s="1" t="s">
        <v>533</v>
      </c>
      <c r="E99" s="1" t="s">
        <v>534</v>
      </c>
      <c r="F99" s="1" t="str">
        <f>D99&amp;" "&amp;E99</f>
        <v>วิรัชยาภรณ์ บุญเรือง</v>
      </c>
      <c r="G99" s="1" t="s">
        <v>535</v>
      </c>
      <c r="H99" s="1" t="s">
        <v>536</v>
      </c>
      <c r="I99" s="1">
        <v>10688343</v>
      </c>
      <c r="J99" s="1" t="s">
        <v>45</v>
      </c>
      <c r="K99" s="1" t="s">
        <v>471</v>
      </c>
      <c r="L99" s="1" t="s">
        <v>66</v>
      </c>
      <c r="M99" s="1" t="s">
        <v>48</v>
      </c>
      <c r="N99" s="1" t="s">
        <v>98</v>
      </c>
      <c r="O99" s="1" t="s">
        <v>472</v>
      </c>
      <c r="P99" s="1" t="s">
        <v>100</v>
      </c>
      <c r="Q99" s="1">
        <v>10320649</v>
      </c>
      <c r="R99" s="1" t="s">
        <v>501</v>
      </c>
      <c r="S99" s="3" t="s">
        <v>502</v>
      </c>
      <c r="T99" s="1" t="s">
        <v>52</v>
      </c>
      <c r="U99" s="1" t="s">
        <v>53</v>
      </c>
      <c r="V99" s="1" t="s">
        <v>54</v>
      </c>
      <c r="W99" s="1" t="s">
        <v>55</v>
      </c>
      <c r="X99" s="1">
        <v>1</v>
      </c>
      <c r="AA99" s="10"/>
      <c r="AB99" s="33" t="s">
        <v>503</v>
      </c>
      <c r="AC99" s="33" t="s">
        <v>84</v>
      </c>
      <c r="AF99" s="10" t="s">
        <v>59</v>
      </c>
      <c r="AI99" s="24">
        <v>0.33333333333333331</v>
      </c>
      <c r="AJ99" s="24">
        <v>0.54166666666666663</v>
      </c>
    </row>
    <row r="100" spans="1:39" ht="14.25" customHeight="1">
      <c r="A100">
        <v>214</v>
      </c>
      <c r="B100" s="1">
        <v>10641168</v>
      </c>
      <c r="C100" s="1" t="s">
        <v>39</v>
      </c>
      <c r="D100" s="1" t="s">
        <v>537</v>
      </c>
      <c r="E100" s="1" t="s">
        <v>538</v>
      </c>
      <c r="F100" s="1" t="str">
        <f>D100&amp;" "&amp;E100</f>
        <v>พัชราภรณ์ แก้วใส</v>
      </c>
      <c r="G100" s="1" t="s">
        <v>539</v>
      </c>
      <c r="H100" s="1" t="s">
        <v>540</v>
      </c>
      <c r="I100" s="1">
        <v>10641168</v>
      </c>
      <c r="J100" s="1" t="s">
        <v>45</v>
      </c>
      <c r="K100" s="1" t="s">
        <v>179</v>
      </c>
      <c r="L100" s="1" t="s">
        <v>66</v>
      </c>
      <c r="M100" s="1" t="s">
        <v>48</v>
      </c>
      <c r="N100" s="1" t="s">
        <v>48</v>
      </c>
      <c r="O100" s="1" t="s">
        <v>180</v>
      </c>
      <c r="P100" s="1" t="s">
        <v>180</v>
      </c>
      <c r="Q100" s="1">
        <v>10320649</v>
      </c>
      <c r="R100" s="1" t="s">
        <v>501</v>
      </c>
      <c r="S100" s="3" t="s">
        <v>502</v>
      </c>
      <c r="T100" s="1" t="s">
        <v>52</v>
      </c>
      <c r="U100" s="1" t="s">
        <v>53</v>
      </c>
      <c r="V100" s="1" t="s">
        <v>54</v>
      </c>
      <c r="W100" s="1" t="s">
        <v>55</v>
      </c>
      <c r="X100" s="1">
        <v>1</v>
      </c>
      <c r="AA100" s="10"/>
      <c r="AB100" s="33" t="s">
        <v>503</v>
      </c>
      <c r="AC100" s="33" t="s">
        <v>76</v>
      </c>
      <c r="AF100" s="10" t="s">
        <v>59</v>
      </c>
      <c r="AI100" s="24">
        <v>0.33333333333333331</v>
      </c>
      <c r="AJ100" s="24">
        <v>0.54166666666666663</v>
      </c>
    </row>
    <row r="101" spans="1:39" ht="14.25" customHeight="1">
      <c r="A101">
        <v>148</v>
      </c>
      <c r="B101" s="1">
        <v>10569567</v>
      </c>
      <c r="C101" s="1" t="s">
        <v>39</v>
      </c>
      <c r="D101" s="1" t="s">
        <v>541</v>
      </c>
      <c r="E101" s="1" t="s">
        <v>542</v>
      </c>
      <c r="F101" s="1" t="str">
        <f>D101&amp;" "&amp;E101</f>
        <v>พลาพร คชสาร</v>
      </c>
      <c r="G101" s="1" t="s">
        <v>543</v>
      </c>
      <c r="H101" s="1" t="s">
        <v>544</v>
      </c>
      <c r="I101" s="1">
        <v>10569567</v>
      </c>
      <c r="J101" s="1" t="s">
        <v>45</v>
      </c>
      <c r="K101" s="2">
        <v>45025</v>
      </c>
      <c r="L101" s="1" t="s">
        <v>66</v>
      </c>
      <c r="M101" s="1" t="s">
        <v>48</v>
      </c>
      <c r="N101" s="1" t="s">
        <v>48</v>
      </c>
      <c r="O101" s="2">
        <v>45292</v>
      </c>
      <c r="P101" s="2">
        <v>45292</v>
      </c>
      <c r="Q101" s="1">
        <v>10320649</v>
      </c>
      <c r="R101" s="1" t="s">
        <v>501</v>
      </c>
      <c r="S101" s="3" t="s">
        <v>502</v>
      </c>
      <c r="T101" s="1" t="s">
        <v>52</v>
      </c>
      <c r="U101" s="1" t="s">
        <v>53</v>
      </c>
      <c r="V101" s="1" t="s">
        <v>54</v>
      </c>
      <c r="W101" s="1" t="s">
        <v>55</v>
      </c>
      <c r="X101" s="1">
        <v>1</v>
      </c>
      <c r="AA101" s="10"/>
      <c r="AB101" s="33" t="s">
        <v>503</v>
      </c>
      <c r="AC101" s="33" t="s">
        <v>212</v>
      </c>
      <c r="AF101" s="10" t="s">
        <v>59</v>
      </c>
      <c r="AI101" s="24">
        <v>0.33333333333333331</v>
      </c>
      <c r="AJ101" s="24">
        <v>0.54166666666666663</v>
      </c>
    </row>
    <row r="102" spans="1:39" ht="14.25" customHeight="1">
      <c r="A102">
        <v>113</v>
      </c>
      <c r="B102" s="1">
        <v>10526630</v>
      </c>
      <c r="C102" s="1" t="s">
        <v>39</v>
      </c>
      <c r="D102" s="1" t="s">
        <v>545</v>
      </c>
      <c r="E102" s="1" t="s">
        <v>546</v>
      </c>
      <c r="F102" s="1" t="str">
        <f>D102&amp;" "&amp;E102</f>
        <v>จริยา สุวรรณโชติ</v>
      </c>
      <c r="G102" s="1" t="s">
        <v>547</v>
      </c>
      <c r="H102" s="1" t="s">
        <v>548</v>
      </c>
      <c r="I102" s="1">
        <v>10526630</v>
      </c>
      <c r="J102" s="1" t="s">
        <v>45</v>
      </c>
      <c r="K102" s="2">
        <v>44781</v>
      </c>
      <c r="L102" s="1" t="s">
        <v>66</v>
      </c>
      <c r="M102" s="1" t="s">
        <v>48</v>
      </c>
      <c r="N102" s="1" t="s">
        <v>48</v>
      </c>
      <c r="O102" s="2">
        <v>44693</v>
      </c>
      <c r="P102" s="2">
        <v>44693</v>
      </c>
      <c r="Q102" s="1">
        <v>10320649</v>
      </c>
      <c r="R102" s="1" t="s">
        <v>501</v>
      </c>
      <c r="S102" s="3" t="s">
        <v>502</v>
      </c>
      <c r="T102" s="1" t="s">
        <v>52</v>
      </c>
      <c r="U102" s="1" t="s">
        <v>53</v>
      </c>
      <c r="V102" s="1" t="s">
        <v>54</v>
      </c>
      <c r="W102" s="1" t="s">
        <v>55</v>
      </c>
      <c r="X102" s="1">
        <v>1</v>
      </c>
      <c r="AA102" s="10"/>
      <c r="AB102" s="33" t="s">
        <v>503</v>
      </c>
      <c r="AC102" s="33" t="s">
        <v>102</v>
      </c>
      <c r="AF102" s="10" t="s">
        <v>59</v>
      </c>
      <c r="AI102" s="24">
        <v>0.33333333333333331</v>
      </c>
      <c r="AJ102" s="24">
        <v>0.70833333333333337</v>
      </c>
    </row>
    <row r="103" spans="1:39" ht="14.25" customHeight="1">
      <c r="A103">
        <v>166</v>
      </c>
      <c r="B103" s="1">
        <v>10602863</v>
      </c>
      <c r="C103" s="1" t="s">
        <v>39</v>
      </c>
      <c r="D103" s="1" t="s">
        <v>549</v>
      </c>
      <c r="E103" s="1" t="s">
        <v>161</v>
      </c>
      <c r="F103" s="1" t="str">
        <f>D103&amp;" "&amp;E103</f>
        <v>กมลชนก ภูทอง</v>
      </c>
      <c r="G103" s="1" t="s">
        <v>550</v>
      </c>
      <c r="H103" s="1" t="s">
        <v>163</v>
      </c>
      <c r="I103" s="1">
        <v>10602863</v>
      </c>
      <c r="J103" s="1" t="s">
        <v>45</v>
      </c>
      <c r="K103" s="2">
        <v>45295</v>
      </c>
      <c r="L103" s="1" t="s">
        <v>66</v>
      </c>
      <c r="M103" s="1" t="s">
        <v>48</v>
      </c>
      <c r="N103" s="1" t="s">
        <v>48</v>
      </c>
      <c r="O103" s="1" t="s">
        <v>551</v>
      </c>
      <c r="P103" s="1" t="s">
        <v>551</v>
      </c>
      <c r="Q103" s="1">
        <v>10320649</v>
      </c>
      <c r="R103" s="1" t="s">
        <v>501</v>
      </c>
      <c r="S103" s="3" t="s">
        <v>502</v>
      </c>
      <c r="T103" s="1" t="s">
        <v>52</v>
      </c>
      <c r="U103" s="1" t="s">
        <v>53</v>
      </c>
      <c r="V103" s="1" t="s">
        <v>54</v>
      </c>
      <c r="W103" s="1" t="s">
        <v>55</v>
      </c>
      <c r="X103" s="1">
        <v>1</v>
      </c>
      <c r="AA103" s="10"/>
      <c r="AB103" s="33" t="s">
        <v>503</v>
      </c>
      <c r="AC103" s="33" t="s">
        <v>91</v>
      </c>
      <c r="AF103" s="10" t="s">
        <v>59</v>
      </c>
      <c r="AI103" s="24">
        <v>0.33333333333333331</v>
      </c>
      <c r="AJ103" s="24">
        <v>0.54166666666666663</v>
      </c>
    </row>
    <row r="104" spans="1:39" ht="14.25" customHeight="1">
      <c r="A104">
        <v>123</v>
      </c>
      <c r="B104" s="1">
        <v>10539767</v>
      </c>
      <c r="C104" s="1" t="s">
        <v>39</v>
      </c>
      <c r="D104" s="1" t="s">
        <v>552</v>
      </c>
      <c r="E104" s="1" t="s">
        <v>553</v>
      </c>
      <c r="F104" s="1" t="str">
        <f>D104&amp;" "&amp;E104</f>
        <v>ธนนันท์ เดชเสริมศรี</v>
      </c>
      <c r="G104" s="1" t="s">
        <v>554</v>
      </c>
      <c r="H104" s="1" t="s">
        <v>555</v>
      </c>
      <c r="I104" s="1">
        <v>10539767</v>
      </c>
      <c r="J104" s="1" t="s">
        <v>45</v>
      </c>
      <c r="K104" s="1" t="s">
        <v>556</v>
      </c>
      <c r="L104" s="1" t="s">
        <v>66</v>
      </c>
      <c r="M104" s="1" t="s">
        <v>48</v>
      </c>
      <c r="N104" s="1" t="s">
        <v>48</v>
      </c>
      <c r="O104" s="1" t="s">
        <v>557</v>
      </c>
      <c r="P104" s="1" t="s">
        <v>557</v>
      </c>
      <c r="Q104" s="1">
        <v>10320649</v>
      </c>
      <c r="R104" s="1" t="s">
        <v>501</v>
      </c>
      <c r="S104" s="3" t="s">
        <v>502</v>
      </c>
      <c r="T104" s="1" t="s">
        <v>52</v>
      </c>
      <c r="U104" s="1" t="s">
        <v>53</v>
      </c>
      <c r="V104" s="1" t="s">
        <v>54</v>
      </c>
      <c r="W104" s="1" t="s">
        <v>55</v>
      </c>
      <c r="X104" s="1">
        <v>1</v>
      </c>
      <c r="AA104" s="10"/>
      <c r="AB104" s="33" t="s">
        <v>503</v>
      </c>
      <c r="AC104" s="33" t="s">
        <v>102</v>
      </c>
      <c r="AF104" s="10" t="s">
        <v>59</v>
      </c>
      <c r="AI104" s="24">
        <v>0.54166666666666663</v>
      </c>
      <c r="AJ104" s="24">
        <v>8.3333333333333329E-2</v>
      </c>
    </row>
    <row r="105" spans="1:39" ht="14.25" customHeight="1">
      <c r="A105">
        <v>237</v>
      </c>
      <c r="B105" s="1">
        <v>10653675</v>
      </c>
      <c r="C105" s="1" t="s">
        <v>92</v>
      </c>
      <c r="D105" s="1" t="s">
        <v>558</v>
      </c>
      <c r="E105" s="1" t="s">
        <v>559</v>
      </c>
      <c r="F105" s="1" t="str">
        <f>D105&amp;" "&amp;E105</f>
        <v>กิตติชัย ดีคำไฮ</v>
      </c>
      <c r="G105" s="1" t="s">
        <v>560</v>
      </c>
      <c r="H105" s="1" t="s">
        <v>561</v>
      </c>
      <c r="I105" s="1">
        <v>10653675</v>
      </c>
      <c r="J105" s="1" t="s">
        <v>45</v>
      </c>
      <c r="K105" s="2">
        <v>45664</v>
      </c>
      <c r="L105" s="1" t="s">
        <v>66</v>
      </c>
      <c r="M105" s="1" t="s">
        <v>48</v>
      </c>
      <c r="N105" s="1" t="s">
        <v>48</v>
      </c>
      <c r="O105" s="1" t="s">
        <v>89</v>
      </c>
      <c r="P105" s="1" t="s">
        <v>89</v>
      </c>
      <c r="Q105" s="1">
        <v>10320649</v>
      </c>
      <c r="R105" s="1" t="s">
        <v>501</v>
      </c>
      <c r="S105" s="3" t="s">
        <v>502</v>
      </c>
      <c r="T105" s="1" t="s">
        <v>52</v>
      </c>
      <c r="U105" s="1" t="s">
        <v>53</v>
      </c>
      <c r="V105" s="1" t="s">
        <v>54</v>
      </c>
      <c r="W105" s="1" t="s">
        <v>55</v>
      </c>
      <c r="X105" s="1">
        <v>1</v>
      </c>
      <c r="AA105" s="10"/>
      <c r="AB105" s="33" t="s">
        <v>503</v>
      </c>
      <c r="AC105" s="33" t="s">
        <v>91</v>
      </c>
      <c r="AF105" s="10" t="s">
        <v>59</v>
      </c>
      <c r="AI105" s="24">
        <v>0.54166666666666663</v>
      </c>
      <c r="AJ105" s="24">
        <v>0.70833333333333337</v>
      </c>
    </row>
    <row r="106" spans="1:39" ht="14.25" customHeight="1">
      <c r="A106">
        <v>142</v>
      </c>
      <c r="B106" s="1">
        <v>10558894</v>
      </c>
      <c r="C106" s="1" t="s">
        <v>39</v>
      </c>
      <c r="D106" s="1" t="s">
        <v>396</v>
      </c>
      <c r="E106" s="1" t="s">
        <v>562</v>
      </c>
      <c r="F106" s="1" t="str">
        <f>D106&amp;" "&amp;E106</f>
        <v>นภาพร สุรินทร์</v>
      </c>
      <c r="G106" s="1" t="s">
        <v>398</v>
      </c>
      <c r="H106" s="1" t="s">
        <v>563</v>
      </c>
      <c r="I106" s="1">
        <v>10558894</v>
      </c>
      <c r="J106" s="1" t="s">
        <v>45</v>
      </c>
      <c r="K106" s="2">
        <v>44932</v>
      </c>
      <c r="L106" s="1" t="s">
        <v>66</v>
      </c>
      <c r="M106" s="1" t="s">
        <v>48</v>
      </c>
      <c r="N106" s="1" t="s">
        <v>48</v>
      </c>
      <c r="O106" s="1" t="s">
        <v>82</v>
      </c>
      <c r="P106" s="1" t="s">
        <v>82</v>
      </c>
      <c r="Q106" s="1">
        <v>10320649</v>
      </c>
      <c r="R106" s="1" t="s">
        <v>501</v>
      </c>
      <c r="S106" s="3" t="s">
        <v>502</v>
      </c>
      <c r="T106" s="1" t="s">
        <v>52</v>
      </c>
      <c r="U106" s="1" t="s">
        <v>53</v>
      </c>
      <c r="V106" s="1" t="s">
        <v>54</v>
      </c>
      <c r="W106" s="1" t="s">
        <v>55</v>
      </c>
      <c r="X106" s="1">
        <v>1</v>
      </c>
      <c r="AA106" s="10"/>
      <c r="AB106" s="33" t="s">
        <v>503</v>
      </c>
      <c r="AC106" s="33" t="s">
        <v>91</v>
      </c>
      <c r="AF106" s="10" t="s">
        <v>59</v>
      </c>
      <c r="AI106" s="24">
        <v>0.79166666666666663</v>
      </c>
      <c r="AJ106" s="24">
        <v>0.16666666666666666</v>
      </c>
    </row>
    <row r="107" spans="1:39" ht="14.25" customHeight="1">
      <c r="A107">
        <v>363</v>
      </c>
      <c r="B107" s="1">
        <v>10680550</v>
      </c>
      <c r="C107" s="1" t="s">
        <v>39</v>
      </c>
      <c r="D107" s="1" t="s">
        <v>564</v>
      </c>
      <c r="E107" s="1" t="s">
        <v>565</v>
      </c>
      <c r="F107" s="1" t="str">
        <f>D107&amp;" "&amp;E107</f>
        <v>ดรุณี แถวทับ</v>
      </c>
      <c r="G107" s="1" t="s">
        <v>566</v>
      </c>
      <c r="H107" s="1" t="s">
        <v>567</v>
      </c>
      <c r="I107" s="1">
        <v>10680550</v>
      </c>
      <c r="J107" s="1" t="s">
        <v>45</v>
      </c>
      <c r="K107" s="1" t="s">
        <v>259</v>
      </c>
      <c r="L107" s="1" t="s">
        <v>66</v>
      </c>
      <c r="M107" s="1" t="s">
        <v>48</v>
      </c>
      <c r="N107" s="1" t="s">
        <v>98</v>
      </c>
      <c r="O107" s="1" t="s">
        <v>260</v>
      </c>
      <c r="P107" s="1" t="s">
        <v>100</v>
      </c>
      <c r="Q107" s="1">
        <v>10320649</v>
      </c>
      <c r="R107" s="1" t="s">
        <v>501</v>
      </c>
      <c r="S107" s="3" t="s">
        <v>502</v>
      </c>
      <c r="T107" s="1" t="s">
        <v>52</v>
      </c>
      <c r="U107" s="1" t="s">
        <v>53</v>
      </c>
      <c r="V107" s="1" t="s">
        <v>54</v>
      </c>
      <c r="W107" s="1" t="s">
        <v>55</v>
      </c>
      <c r="X107" s="1">
        <v>1</v>
      </c>
      <c r="AA107" s="10"/>
      <c r="AB107" s="33" t="s">
        <v>503</v>
      </c>
      <c r="AC107" s="33" t="s">
        <v>76</v>
      </c>
      <c r="AF107" s="10" t="s">
        <v>59</v>
      </c>
      <c r="AI107" s="24">
        <v>0.79166666666666663</v>
      </c>
      <c r="AJ107" s="24">
        <v>0.16666666666666666</v>
      </c>
    </row>
    <row r="108" spans="1:39" ht="14.25" customHeight="1">
      <c r="A108">
        <v>124</v>
      </c>
      <c r="B108" s="1">
        <v>10539774</v>
      </c>
      <c r="C108" s="1" t="s">
        <v>92</v>
      </c>
      <c r="D108" s="1" t="s">
        <v>568</v>
      </c>
      <c r="E108" s="1" t="s">
        <v>569</v>
      </c>
      <c r="F108" s="1" t="str">
        <f>D108&amp;" "&amp;E108</f>
        <v>ศราวุธ สุทชา</v>
      </c>
      <c r="G108" s="1" t="s">
        <v>156</v>
      </c>
      <c r="H108" s="1" t="s">
        <v>570</v>
      </c>
      <c r="I108" s="1">
        <v>10539774</v>
      </c>
      <c r="J108" s="1" t="s">
        <v>45</v>
      </c>
      <c r="K108" s="1" t="s">
        <v>556</v>
      </c>
      <c r="L108" s="1" t="s">
        <v>66</v>
      </c>
      <c r="M108" s="1" t="s">
        <v>48</v>
      </c>
      <c r="N108" s="1" t="s">
        <v>48</v>
      </c>
      <c r="O108" s="1" t="s">
        <v>557</v>
      </c>
      <c r="P108" s="1" t="s">
        <v>557</v>
      </c>
      <c r="Q108" s="1">
        <v>10320649</v>
      </c>
      <c r="R108" s="1" t="s">
        <v>501</v>
      </c>
      <c r="S108" s="3" t="s">
        <v>502</v>
      </c>
      <c r="T108" s="1" t="s">
        <v>52</v>
      </c>
      <c r="U108" s="1" t="s">
        <v>53</v>
      </c>
      <c r="V108" s="1" t="s">
        <v>54</v>
      </c>
      <c r="W108" s="1" t="s">
        <v>55</v>
      </c>
      <c r="X108" s="1">
        <v>1</v>
      </c>
      <c r="AA108" s="10"/>
      <c r="AB108" s="33" t="s">
        <v>503</v>
      </c>
      <c r="AC108" s="33" t="s">
        <v>102</v>
      </c>
      <c r="AE108" t="s">
        <v>571</v>
      </c>
      <c r="AF108" s="10" t="s">
        <v>77</v>
      </c>
      <c r="AL108" s="24">
        <v>0.5</v>
      </c>
      <c r="AM108" s="24">
        <v>0.875</v>
      </c>
    </row>
    <row r="109" spans="1:39" ht="14.25" customHeight="1">
      <c r="A109">
        <v>127</v>
      </c>
      <c r="B109" s="1">
        <v>10540523</v>
      </c>
      <c r="C109" s="1" t="s">
        <v>39</v>
      </c>
      <c r="D109" s="1" t="s">
        <v>572</v>
      </c>
      <c r="E109" s="1" t="s">
        <v>573</v>
      </c>
      <c r="F109" s="1" t="str">
        <f>D109&amp;" "&amp;E109</f>
        <v>ศิรภัสสร บุญยมาลิก</v>
      </c>
      <c r="G109" s="1" t="s">
        <v>574</v>
      </c>
      <c r="H109" s="1" t="s">
        <v>575</v>
      </c>
      <c r="I109" s="1" t="s">
        <v>576</v>
      </c>
      <c r="J109" s="1" t="s">
        <v>45</v>
      </c>
      <c r="K109" s="2">
        <v>44928</v>
      </c>
      <c r="L109" s="1" t="s">
        <v>47</v>
      </c>
      <c r="M109" s="1" t="s">
        <v>48</v>
      </c>
      <c r="N109" s="1" t="s">
        <v>48</v>
      </c>
      <c r="O109" s="1" t="s">
        <v>577</v>
      </c>
      <c r="P109" s="1" t="s">
        <v>577</v>
      </c>
      <c r="Q109" s="1">
        <v>10294597</v>
      </c>
      <c r="R109" s="1" t="s">
        <v>578</v>
      </c>
      <c r="S109" s="3" t="s">
        <v>502</v>
      </c>
      <c r="T109" s="1" t="s">
        <v>52</v>
      </c>
      <c r="U109" s="1" t="s">
        <v>53</v>
      </c>
      <c r="V109" s="1" t="s">
        <v>54</v>
      </c>
      <c r="W109" s="1" t="s">
        <v>55</v>
      </c>
      <c r="X109" s="1">
        <v>1</v>
      </c>
      <c r="AA109" s="10"/>
      <c r="AB109" s="33" t="s">
        <v>579</v>
      </c>
      <c r="AC109" s="33" t="s">
        <v>91</v>
      </c>
      <c r="AD109" t="s">
        <v>580</v>
      </c>
    </row>
    <row r="110" spans="1:39" ht="14.25" customHeight="1">
      <c r="A110">
        <v>176</v>
      </c>
      <c r="B110" s="1">
        <v>10604549</v>
      </c>
      <c r="C110" s="1" t="s">
        <v>39</v>
      </c>
      <c r="D110" s="1" t="s">
        <v>581</v>
      </c>
      <c r="E110" s="1" t="s">
        <v>582</v>
      </c>
      <c r="F110" s="1" t="str">
        <f>D110&amp;" "&amp;E110</f>
        <v>ชลลดา หมวกเหล็ก</v>
      </c>
      <c r="G110" s="1" t="s">
        <v>583</v>
      </c>
      <c r="H110" s="1" t="s">
        <v>584</v>
      </c>
      <c r="I110" s="1" t="s">
        <v>585</v>
      </c>
      <c r="J110" s="1" t="s">
        <v>45</v>
      </c>
      <c r="K110" s="2">
        <v>45296</v>
      </c>
      <c r="L110" s="1" t="s">
        <v>47</v>
      </c>
      <c r="M110" s="1" t="s">
        <v>48</v>
      </c>
      <c r="N110" s="1" t="s">
        <v>48</v>
      </c>
      <c r="O110" s="1" t="s">
        <v>586</v>
      </c>
      <c r="P110" s="1" t="s">
        <v>586</v>
      </c>
      <c r="Q110" s="1">
        <v>10294597</v>
      </c>
      <c r="R110" s="1" t="s">
        <v>578</v>
      </c>
      <c r="S110" s="3" t="s">
        <v>502</v>
      </c>
      <c r="T110" s="1" t="s">
        <v>52</v>
      </c>
      <c r="U110" s="1" t="s">
        <v>53</v>
      </c>
      <c r="V110" s="1" t="s">
        <v>54</v>
      </c>
      <c r="W110" s="1" t="s">
        <v>55</v>
      </c>
      <c r="X110" s="1">
        <v>1</v>
      </c>
      <c r="AA110" s="10"/>
      <c r="AB110" s="33" t="s">
        <v>579</v>
      </c>
      <c r="AC110" s="33" t="s">
        <v>212</v>
      </c>
      <c r="AD110" t="s">
        <v>580</v>
      </c>
    </row>
    <row r="111" spans="1:39" ht="14.25" customHeight="1">
      <c r="A111">
        <v>185</v>
      </c>
      <c r="B111" s="1">
        <v>10608784</v>
      </c>
      <c r="C111" s="1" t="s">
        <v>39</v>
      </c>
      <c r="D111" s="1" t="s">
        <v>587</v>
      </c>
      <c r="E111" s="1" t="s">
        <v>588</v>
      </c>
      <c r="F111" s="1" t="str">
        <f>D111&amp;" "&amp;E111</f>
        <v>สุจิตตรา ภู่เกษร</v>
      </c>
      <c r="G111" s="1" t="s">
        <v>589</v>
      </c>
      <c r="H111" s="1" t="s">
        <v>590</v>
      </c>
      <c r="I111" s="1">
        <v>10608784</v>
      </c>
      <c r="J111" s="1" t="s">
        <v>45</v>
      </c>
      <c r="K111" s="1" t="s">
        <v>591</v>
      </c>
      <c r="L111" s="1" t="s">
        <v>66</v>
      </c>
      <c r="M111" s="1" t="s">
        <v>48</v>
      </c>
      <c r="N111" s="1" t="s">
        <v>48</v>
      </c>
      <c r="O111" s="1" t="s">
        <v>592</v>
      </c>
      <c r="P111" s="1" t="s">
        <v>592</v>
      </c>
      <c r="Q111" s="1">
        <v>10320649</v>
      </c>
      <c r="R111" s="1" t="s">
        <v>501</v>
      </c>
      <c r="S111" s="3" t="s">
        <v>502</v>
      </c>
      <c r="T111" s="1" t="s">
        <v>52</v>
      </c>
      <c r="U111" s="1" t="s">
        <v>53</v>
      </c>
      <c r="V111" s="1" t="s">
        <v>54</v>
      </c>
      <c r="W111" s="1" t="s">
        <v>55</v>
      </c>
      <c r="X111" s="1">
        <v>1</v>
      </c>
      <c r="AA111" s="10"/>
      <c r="AD111" t="s">
        <v>593</v>
      </c>
    </row>
    <row r="112" spans="1:39" ht="14.25" customHeight="1">
      <c r="A112">
        <v>390</v>
      </c>
      <c r="B112" s="1">
        <v>10688337</v>
      </c>
      <c r="C112" s="1" t="s">
        <v>39</v>
      </c>
      <c r="D112" s="1" t="s">
        <v>594</v>
      </c>
      <c r="E112" s="1" t="s">
        <v>595</v>
      </c>
      <c r="F112" s="1" t="str">
        <f>D112&amp;" "&amp;E112</f>
        <v>วรรณิศา พ้นภัย</v>
      </c>
      <c r="G112" s="1" t="s">
        <v>596</v>
      </c>
      <c r="H112" s="1" t="s">
        <v>597</v>
      </c>
      <c r="I112" s="1">
        <v>10688337</v>
      </c>
      <c r="J112" s="1" t="s">
        <v>45</v>
      </c>
      <c r="K112" s="1" t="s">
        <v>471</v>
      </c>
      <c r="L112" s="1" t="s">
        <v>66</v>
      </c>
      <c r="M112" s="1" t="s">
        <v>48</v>
      </c>
      <c r="N112" s="1" t="s">
        <v>98</v>
      </c>
      <c r="O112" s="1" t="s">
        <v>472</v>
      </c>
      <c r="P112" s="1" t="s">
        <v>100</v>
      </c>
      <c r="Q112" s="1">
        <v>10320649</v>
      </c>
      <c r="R112" s="1" t="s">
        <v>501</v>
      </c>
      <c r="S112" s="3" t="s">
        <v>502</v>
      </c>
      <c r="T112" s="1" t="s">
        <v>52</v>
      </c>
      <c r="U112" s="1" t="s">
        <v>53</v>
      </c>
      <c r="V112" s="1" t="s">
        <v>54</v>
      </c>
      <c r="W112" s="1" t="s">
        <v>55</v>
      </c>
      <c r="X112" s="1">
        <v>1</v>
      </c>
      <c r="AA112" s="10"/>
      <c r="AD112" t="s">
        <v>593</v>
      </c>
    </row>
    <row r="113" spans="1:36" ht="14.25" customHeight="1">
      <c r="A113">
        <v>401</v>
      </c>
      <c r="B113" s="1">
        <v>10688518</v>
      </c>
      <c r="C113" s="1" t="s">
        <v>39</v>
      </c>
      <c r="D113" s="1" t="s">
        <v>598</v>
      </c>
      <c r="E113" s="1" t="s">
        <v>599</v>
      </c>
      <c r="F113" s="1" t="str">
        <f>D113&amp;" "&amp;E113</f>
        <v>สุกฤตา ฤทธิ์ไทยสง</v>
      </c>
      <c r="G113" s="1" t="s">
        <v>600</v>
      </c>
      <c r="H113" s="1" t="s">
        <v>601</v>
      </c>
      <c r="I113" s="1">
        <v>10688518</v>
      </c>
      <c r="J113" s="1" t="s">
        <v>45</v>
      </c>
      <c r="K113" s="1" t="s">
        <v>453</v>
      </c>
      <c r="L113" s="1" t="s">
        <v>66</v>
      </c>
      <c r="M113" s="1" t="s">
        <v>48</v>
      </c>
      <c r="N113" s="1" t="s">
        <v>98</v>
      </c>
      <c r="O113" s="1" t="s">
        <v>454</v>
      </c>
      <c r="P113" s="1" t="s">
        <v>100</v>
      </c>
      <c r="Q113" s="1">
        <v>10295177</v>
      </c>
      <c r="R113" s="1" t="s">
        <v>602</v>
      </c>
      <c r="S113" s="3" t="s">
        <v>603</v>
      </c>
      <c r="T113" s="1" t="s">
        <v>52</v>
      </c>
      <c r="U113" s="1" t="s">
        <v>53</v>
      </c>
      <c r="V113" s="1" t="s">
        <v>54</v>
      </c>
      <c r="W113" s="1" t="s">
        <v>55</v>
      </c>
      <c r="X113" s="1">
        <v>1</v>
      </c>
      <c r="Y113" s="10" t="s">
        <v>604</v>
      </c>
      <c r="Z113" s="10"/>
      <c r="AA113" s="10"/>
      <c r="AB113" s="10" t="s">
        <v>605</v>
      </c>
      <c r="AC113" s="32" t="s">
        <v>102</v>
      </c>
      <c r="AD113" s="10"/>
      <c r="AE113" s="10"/>
      <c r="AF113" s="10" t="s">
        <v>77</v>
      </c>
      <c r="AG113" s="10"/>
      <c r="AH113" s="10"/>
    </row>
    <row r="114" spans="1:36" ht="14.25" customHeight="1">
      <c r="A114">
        <v>183</v>
      </c>
      <c r="B114" s="1">
        <v>10606803</v>
      </c>
      <c r="C114" s="1" t="s">
        <v>39</v>
      </c>
      <c r="D114" s="1" t="s">
        <v>606</v>
      </c>
      <c r="E114" s="1" t="s">
        <v>607</v>
      </c>
      <c r="F114" s="1" t="str">
        <f>D114&amp;" "&amp;E114</f>
        <v>อรอุมา ชัชวงษ์</v>
      </c>
      <c r="G114" s="1" t="s">
        <v>608</v>
      </c>
      <c r="H114" s="1" t="s">
        <v>609</v>
      </c>
      <c r="I114" s="1">
        <v>10606803</v>
      </c>
      <c r="J114" s="1" t="s">
        <v>45</v>
      </c>
      <c r="K114" s="2">
        <v>45327</v>
      </c>
      <c r="L114" s="1" t="s">
        <v>66</v>
      </c>
      <c r="M114" s="1" t="s">
        <v>48</v>
      </c>
      <c r="N114" s="1" t="s">
        <v>48</v>
      </c>
      <c r="O114" s="1" t="s">
        <v>232</v>
      </c>
      <c r="P114" s="1" t="s">
        <v>232</v>
      </c>
      <c r="Q114" s="1">
        <v>10295177</v>
      </c>
      <c r="R114" s="1" t="s">
        <v>602</v>
      </c>
      <c r="S114" s="3" t="s">
        <v>603</v>
      </c>
      <c r="T114" s="1" t="s">
        <v>52</v>
      </c>
      <c r="U114" s="1" t="s">
        <v>53</v>
      </c>
      <c r="V114" s="1" t="s">
        <v>54</v>
      </c>
      <c r="W114" s="1" t="s">
        <v>55</v>
      </c>
      <c r="X114" s="1">
        <v>1</v>
      </c>
      <c r="Y114" s="10" t="s">
        <v>604</v>
      </c>
      <c r="Z114" s="10"/>
      <c r="AA114" s="10"/>
      <c r="AB114" s="10" t="s">
        <v>610</v>
      </c>
      <c r="AC114" s="32" t="s">
        <v>102</v>
      </c>
      <c r="AD114" s="10"/>
      <c r="AE114" s="10"/>
      <c r="AF114" s="10" t="s">
        <v>59</v>
      </c>
      <c r="AG114" s="10"/>
      <c r="AH114" s="10"/>
      <c r="AI114" s="24">
        <v>0.20833333333333334</v>
      </c>
      <c r="AJ114" s="24">
        <v>0.58333333333333337</v>
      </c>
    </row>
    <row r="115" spans="1:36" ht="14.25" customHeight="1">
      <c r="A115">
        <v>58</v>
      </c>
      <c r="B115" s="1">
        <v>10407375</v>
      </c>
      <c r="C115" s="1" t="s">
        <v>39</v>
      </c>
      <c r="D115" s="1" t="s">
        <v>611</v>
      </c>
      <c r="E115" s="1" t="s">
        <v>612</v>
      </c>
      <c r="F115" s="1" t="str">
        <f>D115&amp;" "&amp;E115</f>
        <v>สายฝน สังข์หอย</v>
      </c>
      <c r="G115" s="1" t="s">
        <v>613</v>
      </c>
      <c r="H115" s="1" t="s">
        <v>614</v>
      </c>
      <c r="I115" s="1">
        <v>10407375</v>
      </c>
      <c r="J115" s="1" t="s">
        <v>45</v>
      </c>
      <c r="K115" s="1" t="s">
        <v>615</v>
      </c>
      <c r="L115" s="1" t="s">
        <v>66</v>
      </c>
      <c r="M115" s="1" t="s">
        <v>48</v>
      </c>
      <c r="N115" s="1" t="s">
        <v>48</v>
      </c>
      <c r="O115" s="1" t="s">
        <v>616</v>
      </c>
      <c r="P115" s="1" t="s">
        <v>616</v>
      </c>
      <c r="Q115" s="1">
        <v>10295177</v>
      </c>
      <c r="R115" s="1" t="s">
        <v>602</v>
      </c>
      <c r="S115" s="3" t="s">
        <v>603</v>
      </c>
      <c r="T115" s="1" t="s">
        <v>52</v>
      </c>
      <c r="U115" s="1" t="s">
        <v>53</v>
      </c>
      <c r="V115" s="1" t="s">
        <v>54</v>
      </c>
      <c r="W115" s="1" t="s">
        <v>55</v>
      </c>
      <c r="X115" s="1">
        <v>1</v>
      </c>
      <c r="Y115" s="10" t="s">
        <v>604</v>
      </c>
      <c r="Z115" s="10"/>
      <c r="AA115" s="10"/>
      <c r="AB115" s="10" t="s">
        <v>610</v>
      </c>
      <c r="AC115" s="32" t="s">
        <v>102</v>
      </c>
      <c r="AD115" s="10"/>
      <c r="AE115" s="10"/>
      <c r="AF115" s="10" t="s">
        <v>59</v>
      </c>
      <c r="AG115" s="10"/>
      <c r="AH115" s="10"/>
      <c r="AI115" s="24">
        <v>0.20833333333333334</v>
      </c>
      <c r="AJ115" s="24">
        <v>0.58333333333333337</v>
      </c>
    </row>
    <row r="116" spans="1:36" ht="14.25" customHeight="1">
      <c r="A116">
        <v>365</v>
      </c>
      <c r="B116" s="1">
        <v>10680559</v>
      </c>
      <c r="C116" s="1" t="s">
        <v>39</v>
      </c>
      <c r="D116" s="1" t="s">
        <v>617</v>
      </c>
      <c r="E116" s="1" t="s">
        <v>478</v>
      </c>
      <c r="F116" s="1" t="str">
        <f>D116&amp;" "&amp;E116</f>
        <v>ศิริวรรณ มัทราช</v>
      </c>
      <c r="G116" s="1" t="s">
        <v>618</v>
      </c>
      <c r="H116" s="1" t="s">
        <v>619</v>
      </c>
      <c r="I116" s="1">
        <v>10680559</v>
      </c>
      <c r="J116" s="1" t="s">
        <v>45</v>
      </c>
      <c r="K116" s="1" t="s">
        <v>259</v>
      </c>
      <c r="L116" s="1" t="s">
        <v>66</v>
      </c>
      <c r="M116" s="1" t="s">
        <v>48</v>
      </c>
      <c r="N116" s="1" t="s">
        <v>98</v>
      </c>
      <c r="O116" s="1" t="s">
        <v>260</v>
      </c>
      <c r="P116" s="1" t="s">
        <v>100</v>
      </c>
      <c r="Q116" s="1">
        <v>10358497</v>
      </c>
      <c r="R116" s="1" t="s">
        <v>620</v>
      </c>
      <c r="S116" s="3" t="s">
        <v>603</v>
      </c>
      <c r="T116" s="1" t="s">
        <v>52</v>
      </c>
      <c r="U116" s="1" t="s">
        <v>53</v>
      </c>
      <c r="V116" s="1" t="s">
        <v>54</v>
      </c>
      <c r="W116" s="1" t="s">
        <v>55</v>
      </c>
      <c r="X116" s="1">
        <v>1</v>
      </c>
      <c r="Y116" s="10" t="s">
        <v>604</v>
      </c>
      <c r="Z116" s="10"/>
      <c r="AA116" s="10"/>
      <c r="AB116" s="10" t="s">
        <v>610</v>
      </c>
      <c r="AC116" s="32" t="s">
        <v>102</v>
      </c>
      <c r="AD116" s="10"/>
      <c r="AE116" s="10"/>
      <c r="AF116" s="10" t="s">
        <v>59</v>
      </c>
      <c r="AG116" s="10"/>
      <c r="AH116" s="10"/>
      <c r="AI116" s="24">
        <v>0.20833333333333334</v>
      </c>
      <c r="AJ116" s="24">
        <v>0.58333333333333337</v>
      </c>
    </row>
    <row r="117" spans="1:36" ht="14.25" customHeight="1">
      <c r="A117">
        <v>368</v>
      </c>
      <c r="B117" s="1">
        <v>10681978</v>
      </c>
      <c r="C117" s="1" t="s">
        <v>39</v>
      </c>
      <c r="D117" s="10" t="s">
        <v>621</v>
      </c>
      <c r="E117" s="1" t="s">
        <v>198</v>
      </c>
      <c r="F117" s="1" t="str">
        <f>D117&amp;" "&amp;E117</f>
        <v>วิมลรัตน์ เมืองสวัสดิ์</v>
      </c>
      <c r="G117" s="1" t="s">
        <v>622</v>
      </c>
      <c r="H117" s="1" t="s">
        <v>200</v>
      </c>
      <c r="I117" s="1">
        <v>10681978</v>
      </c>
      <c r="J117" s="1" t="s">
        <v>45</v>
      </c>
      <c r="K117" s="2">
        <v>46083</v>
      </c>
      <c r="L117" s="1" t="s">
        <v>66</v>
      </c>
      <c r="M117" s="1" t="s">
        <v>48</v>
      </c>
      <c r="N117" s="1" t="s">
        <v>98</v>
      </c>
      <c r="O117" s="2">
        <v>46059</v>
      </c>
      <c r="P117" s="1" t="s">
        <v>100</v>
      </c>
      <c r="Q117" s="1">
        <v>10295177</v>
      </c>
      <c r="R117" s="1" t="s">
        <v>602</v>
      </c>
      <c r="S117" s="3" t="s">
        <v>603</v>
      </c>
      <c r="T117" s="1" t="s">
        <v>52</v>
      </c>
      <c r="U117" s="1" t="s">
        <v>53</v>
      </c>
      <c r="V117" s="1" t="s">
        <v>54</v>
      </c>
      <c r="W117" s="1" t="s">
        <v>55</v>
      </c>
      <c r="X117" s="1">
        <v>1</v>
      </c>
      <c r="Y117" s="10" t="s">
        <v>604</v>
      </c>
      <c r="Z117" s="10"/>
      <c r="AA117" s="10"/>
      <c r="AB117" s="10" t="s">
        <v>610</v>
      </c>
      <c r="AC117" s="32" t="s">
        <v>102</v>
      </c>
      <c r="AD117" s="10"/>
      <c r="AE117" s="10"/>
      <c r="AF117" s="10" t="s">
        <v>59</v>
      </c>
      <c r="AG117" s="10"/>
      <c r="AH117" s="10"/>
      <c r="AI117" s="24">
        <v>0.20833333333333334</v>
      </c>
      <c r="AJ117" s="24">
        <v>0.58333333333333337</v>
      </c>
    </row>
    <row r="118" spans="1:36" ht="14.25" customHeight="1">
      <c r="A118">
        <v>126</v>
      </c>
      <c r="B118" s="1">
        <v>10540154</v>
      </c>
      <c r="C118" s="1" t="s">
        <v>92</v>
      </c>
      <c r="D118" s="1" t="s">
        <v>623</v>
      </c>
      <c r="E118" s="1" t="s">
        <v>624</v>
      </c>
      <c r="F118" s="1" t="str">
        <f>D118&amp;" "&amp;E118</f>
        <v>วันชัย คัมภิรานนท์</v>
      </c>
      <c r="G118" s="1" t="s">
        <v>625</v>
      </c>
      <c r="H118" s="1" t="s">
        <v>626</v>
      </c>
      <c r="I118" s="1">
        <v>10540154</v>
      </c>
      <c r="J118" s="1" t="s">
        <v>45</v>
      </c>
      <c r="K118" s="1" t="s">
        <v>556</v>
      </c>
      <c r="L118" s="1" t="s">
        <v>66</v>
      </c>
      <c r="M118" s="1" t="s">
        <v>48</v>
      </c>
      <c r="N118" s="1" t="s">
        <v>48</v>
      </c>
      <c r="O118" s="1" t="s">
        <v>557</v>
      </c>
      <c r="P118" s="1" t="s">
        <v>557</v>
      </c>
      <c r="Q118" s="1">
        <v>10295177</v>
      </c>
      <c r="R118" s="1" t="s">
        <v>602</v>
      </c>
      <c r="S118" s="3" t="s">
        <v>603</v>
      </c>
      <c r="T118" s="1" t="s">
        <v>52</v>
      </c>
      <c r="U118" s="1" t="s">
        <v>53</v>
      </c>
      <c r="V118" s="1" t="s">
        <v>54</v>
      </c>
      <c r="W118" s="1" t="s">
        <v>55</v>
      </c>
      <c r="X118" s="1">
        <v>1</v>
      </c>
      <c r="Y118" s="10" t="s">
        <v>604</v>
      </c>
      <c r="Z118" s="10"/>
      <c r="AA118" s="10"/>
      <c r="AB118" s="10" t="s">
        <v>610</v>
      </c>
      <c r="AC118" s="32" t="s">
        <v>102</v>
      </c>
      <c r="AD118" s="10"/>
      <c r="AE118" s="10"/>
      <c r="AF118" s="10" t="s">
        <v>59</v>
      </c>
      <c r="AG118" s="10"/>
      <c r="AH118" s="10"/>
      <c r="AI118" s="24">
        <v>0.20833333333333334</v>
      </c>
      <c r="AJ118" s="24">
        <v>0.58333333333333337</v>
      </c>
    </row>
    <row r="119" spans="1:36" ht="14.25" customHeight="1">
      <c r="A119">
        <v>174</v>
      </c>
      <c r="B119" s="1">
        <v>10604122</v>
      </c>
      <c r="C119" s="1" t="s">
        <v>627</v>
      </c>
      <c r="D119" s="1" t="s">
        <v>628</v>
      </c>
      <c r="E119" s="1" t="s">
        <v>629</v>
      </c>
      <c r="F119" s="1" t="str">
        <f>D119&amp;" "&amp;E119</f>
        <v>TAI SIM</v>
      </c>
      <c r="G119" s="1" t="s">
        <v>628</v>
      </c>
      <c r="H119" s="1" t="s">
        <v>629</v>
      </c>
      <c r="I119" s="1">
        <v>10604122</v>
      </c>
      <c r="J119" s="1" t="s">
        <v>45</v>
      </c>
      <c r="K119" s="2">
        <v>45569</v>
      </c>
      <c r="L119" s="1" t="s">
        <v>66</v>
      </c>
      <c r="M119" s="1" t="s">
        <v>48</v>
      </c>
      <c r="N119" s="1" t="s">
        <v>48</v>
      </c>
      <c r="O119" s="2">
        <v>45481</v>
      </c>
      <c r="P119" s="2">
        <v>45481</v>
      </c>
      <c r="Q119" s="1">
        <v>10295177</v>
      </c>
      <c r="R119" s="1" t="s">
        <v>602</v>
      </c>
      <c r="S119" s="3" t="s">
        <v>603</v>
      </c>
      <c r="T119" s="1" t="s">
        <v>52</v>
      </c>
      <c r="U119" s="1" t="s">
        <v>53</v>
      </c>
      <c r="V119" s="1" t="s">
        <v>54</v>
      </c>
      <c r="W119" s="1" t="s">
        <v>418</v>
      </c>
      <c r="X119" s="1">
        <v>1</v>
      </c>
      <c r="Y119" s="10" t="s">
        <v>604</v>
      </c>
      <c r="Z119" s="10"/>
      <c r="AA119" s="10"/>
      <c r="AB119" s="10" t="s">
        <v>610</v>
      </c>
      <c r="AC119" s="32" t="s">
        <v>102</v>
      </c>
      <c r="AD119" s="10"/>
      <c r="AE119" s="10"/>
      <c r="AF119" s="10" t="s">
        <v>59</v>
      </c>
      <c r="AG119" s="10"/>
      <c r="AH119" s="10"/>
      <c r="AI119" s="24">
        <v>0.20833333333333334</v>
      </c>
      <c r="AJ119" s="24">
        <v>0.58333333333333337</v>
      </c>
    </row>
    <row r="120" spans="1:36" ht="14.25" customHeight="1">
      <c r="A120">
        <v>424</v>
      </c>
      <c r="B120" s="1">
        <v>10691704</v>
      </c>
      <c r="C120" s="1" t="s">
        <v>627</v>
      </c>
      <c r="D120" s="1" t="s">
        <v>630</v>
      </c>
      <c r="E120" s="1" t="s">
        <v>631</v>
      </c>
      <c r="F120" s="1" t="str">
        <f>D120&amp;" "&amp;E120</f>
        <v>SANDAR WIN -</v>
      </c>
      <c r="G120" s="1" t="s">
        <v>630</v>
      </c>
      <c r="H120" s="1" t="s">
        <v>631</v>
      </c>
      <c r="I120" s="1">
        <v>10691704</v>
      </c>
      <c r="J120" s="1" t="s">
        <v>45</v>
      </c>
      <c r="K120" s="2">
        <v>46026</v>
      </c>
      <c r="L120" s="1" t="s">
        <v>66</v>
      </c>
      <c r="M120" s="1" t="s">
        <v>48</v>
      </c>
      <c r="N120" s="1" t="s">
        <v>98</v>
      </c>
      <c r="O120" s="1" t="s">
        <v>466</v>
      </c>
      <c r="P120" s="1" t="s">
        <v>100</v>
      </c>
      <c r="Q120" s="1">
        <v>10295177</v>
      </c>
      <c r="R120" s="1" t="s">
        <v>602</v>
      </c>
      <c r="S120" s="3" t="s">
        <v>603</v>
      </c>
      <c r="T120" s="1" t="s">
        <v>52</v>
      </c>
      <c r="U120" s="1" t="s">
        <v>53</v>
      </c>
      <c r="V120" s="1" t="s">
        <v>54</v>
      </c>
      <c r="W120" s="1" t="s">
        <v>632</v>
      </c>
      <c r="X120" s="1">
        <v>1</v>
      </c>
      <c r="Y120" s="10" t="s">
        <v>604</v>
      </c>
      <c r="Z120" s="10"/>
      <c r="AA120" s="10"/>
      <c r="AB120" s="10" t="s">
        <v>610</v>
      </c>
      <c r="AC120" s="32" t="s">
        <v>102</v>
      </c>
      <c r="AD120" s="10"/>
      <c r="AE120" s="10"/>
      <c r="AF120" s="10" t="s">
        <v>59</v>
      </c>
      <c r="AG120" s="10"/>
      <c r="AH120" s="10"/>
      <c r="AI120" s="24">
        <v>0.20833333333333334</v>
      </c>
      <c r="AJ120" s="24">
        <v>0.58333333333333337</v>
      </c>
    </row>
    <row r="121" spans="1:36" ht="14.25" customHeight="1">
      <c r="A121">
        <v>421</v>
      </c>
      <c r="B121" s="1">
        <v>10691693</v>
      </c>
      <c r="C121" s="1" t="s">
        <v>627</v>
      </c>
      <c r="D121" s="1" t="s">
        <v>633</v>
      </c>
      <c r="E121" s="1" t="s">
        <v>631</v>
      </c>
      <c r="F121" s="1" t="str">
        <f>D121&amp;" "&amp;E121</f>
        <v>NAN KHIN MYO SAN -</v>
      </c>
      <c r="G121" s="1" t="s">
        <v>633</v>
      </c>
      <c r="H121" s="1" t="s">
        <v>631</v>
      </c>
      <c r="I121" s="1">
        <v>10691693</v>
      </c>
      <c r="J121" s="1" t="s">
        <v>45</v>
      </c>
      <c r="K121" s="2">
        <v>46026</v>
      </c>
      <c r="L121" s="1" t="s">
        <v>66</v>
      </c>
      <c r="M121" s="1" t="s">
        <v>48</v>
      </c>
      <c r="N121" s="1" t="s">
        <v>98</v>
      </c>
      <c r="O121" s="1" t="s">
        <v>466</v>
      </c>
      <c r="P121" s="1" t="s">
        <v>100</v>
      </c>
      <c r="Q121" s="1">
        <v>10295177</v>
      </c>
      <c r="R121" s="1" t="s">
        <v>602</v>
      </c>
      <c r="S121" s="3" t="s">
        <v>603</v>
      </c>
      <c r="T121" s="1" t="s">
        <v>52</v>
      </c>
      <c r="U121" s="1" t="s">
        <v>53</v>
      </c>
      <c r="V121" s="1" t="s">
        <v>54</v>
      </c>
      <c r="W121" s="1" t="s">
        <v>632</v>
      </c>
      <c r="X121" s="1">
        <v>1</v>
      </c>
      <c r="Y121" s="10" t="s">
        <v>604</v>
      </c>
      <c r="Z121" s="10"/>
      <c r="AA121" s="10"/>
      <c r="AB121" s="10" t="s">
        <v>610</v>
      </c>
      <c r="AC121" s="32" t="s">
        <v>102</v>
      </c>
      <c r="AD121" s="10"/>
      <c r="AE121" s="10"/>
      <c r="AF121" s="10" t="s">
        <v>59</v>
      </c>
      <c r="AG121" s="10"/>
      <c r="AH121" s="10"/>
      <c r="AI121" s="24">
        <v>0.20833333333333334</v>
      </c>
      <c r="AJ121" s="24">
        <v>0.58333333333333337</v>
      </c>
    </row>
    <row r="122" spans="1:36" ht="14.25" customHeight="1">
      <c r="A122">
        <v>59</v>
      </c>
      <c r="B122" s="1">
        <v>10407392</v>
      </c>
      <c r="C122" s="1" t="s">
        <v>39</v>
      </c>
      <c r="D122" s="1" t="s">
        <v>634</v>
      </c>
      <c r="E122" s="1" t="s">
        <v>635</v>
      </c>
      <c r="F122" s="1" t="str">
        <f>D122&amp;" "&amp;E122</f>
        <v>รจนา โทยิ้ม</v>
      </c>
      <c r="G122" s="1" t="s">
        <v>636</v>
      </c>
      <c r="H122" s="1" t="s">
        <v>637</v>
      </c>
      <c r="I122" s="1">
        <v>10407392</v>
      </c>
      <c r="J122" s="1" t="s">
        <v>45</v>
      </c>
      <c r="K122" s="1" t="s">
        <v>615</v>
      </c>
      <c r="L122" s="1" t="s">
        <v>66</v>
      </c>
      <c r="M122" s="1" t="s">
        <v>48</v>
      </c>
      <c r="N122" s="1" t="s">
        <v>48</v>
      </c>
      <c r="O122" s="1" t="s">
        <v>616</v>
      </c>
      <c r="P122" s="1" t="s">
        <v>616</v>
      </c>
      <c r="Q122" s="1">
        <v>10358497</v>
      </c>
      <c r="R122" s="1" t="s">
        <v>620</v>
      </c>
      <c r="S122" s="3" t="s">
        <v>603</v>
      </c>
      <c r="T122" s="1" t="s">
        <v>52</v>
      </c>
      <c r="U122" s="1" t="s">
        <v>53</v>
      </c>
      <c r="V122" s="1" t="s">
        <v>54</v>
      </c>
      <c r="W122" s="1" t="s">
        <v>55</v>
      </c>
      <c r="X122" s="1">
        <v>1</v>
      </c>
      <c r="Y122" s="10" t="s">
        <v>604</v>
      </c>
      <c r="Z122" s="10"/>
      <c r="AA122" s="10"/>
      <c r="AB122" s="10" t="s">
        <v>610</v>
      </c>
      <c r="AC122" s="32" t="s">
        <v>102</v>
      </c>
      <c r="AD122" s="10"/>
      <c r="AE122" s="10"/>
      <c r="AF122" s="10" t="s">
        <v>59</v>
      </c>
      <c r="AG122" s="10"/>
      <c r="AH122" s="10"/>
      <c r="AI122" s="24">
        <v>0.22916666666666666</v>
      </c>
      <c r="AJ122" s="24">
        <v>0.60416666666666663</v>
      </c>
    </row>
    <row r="123" spans="1:36" ht="14.25" customHeight="1">
      <c r="A123">
        <v>400</v>
      </c>
      <c r="B123" s="1">
        <v>10688411</v>
      </c>
      <c r="C123" s="1" t="s">
        <v>39</v>
      </c>
      <c r="D123" s="1" t="s">
        <v>638</v>
      </c>
      <c r="E123" s="1" t="s">
        <v>639</v>
      </c>
      <c r="F123" s="1" t="str">
        <f>D123&amp;" "&amp;E123</f>
        <v>ศิริพร เอี่ยมเจริญ</v>
      </c>
      <c r="G123" s="1" t="s">
        <v>640</v>
      </c>
      <c r="H123" s="1" t="s">
        <v>641</v>
      </c>
      <c r="I123" s="1">
        <v>10688411</v>
      </c>
      <c r="J123" s="1" t="s">
        <v>45</v>
      </c>
      <c r="K123" s="1" t="s">
        <v>453</v>
      </c>
      <c r="L123" s="1" t="s">
        <v>66</v>
      </c>
      <c r="M123" s="1" t="s">
        <v>48</v>
      </c>
      <c r="N123" s="1" t="s">
        <v>98</v>
      </c>
      <c r="O123" s="1" t="s">
        <v>454</v>
      </c>
      <c r="P123" s="1" t="s">
        <v>100</v>
      </c>
      <c r="Q123" s="1">
        <v>10295177</v>
      </c>
      <c r="R123" s="1" t="s">
        <v>602</v>
      </c>
      <c r="S123" s="3" t="s">
        <v>603</v>
      </c>
      <c r="T123" s="1" t="s">
        <v>52</v>
      </c>
      <c r="U123" s="1" t="s">
        <v>53</v>
      </c>
      <c r="V123" s="1" t="s">
        <v>54</v>
      </c>
      <c r="W123" s="1" t="s">
        <v>55</v>
      </c>
      <c r="X123" s="1">
        <v>1</v>
      </c>
      <c r="Y123" s="10" t="s">
        <v>604</v>
      </c>
      <c r="Z123" s="10"/>
      <c r="AA123" s="10"/>
      <c r="AB123" s="10" t="s">
        <v>610</v>
      </c>
      <c r="AC123" s="32" t="s">
        <v>102</v>
      </c>
      <c r="AD123" s="10"/>
      <c r="AE123" s="10"/>
      <c r="AF123" s="10" t="s">
        <v>59</v>
      </c>
      <c r="AG123" s="10"/>
      <c r="AH123" s="10"/>
      <c r="AI123" s="24">
        <v>0.25</v>
      </c>
      <c r="AJ123" s="24">
        <v>0.625</v>
      </c>
    </row>
    <row r="124" spans="1:36" ht="14.25" customHeight="1">
      <c r="A124">
        <v>349</v>
      </c>
      <c r="B124" s="1">
        <v>10680161</v>
      </c>
      <c r="C124" s="1" t="s">
        <v>39</v>
      </c>
      <c r="D124" s="10" t="s">
        <v>642</v>
      </c>
      <c r="E124" s="1" t="s">
        <v>643</v>
      </c>
      <c r="F124" s="1" t="str">
        <f>D124&amp;" "&amp;E124</f>
        <v>ชลธิชา ศรีทองสุก</v>
      </c>
      <c r="G124" s="1" t="s">
        <v>644</v>
      </c>
      <c r="H124" s="1" t="s">
        <v>645</v>
      </c>
      <c r="I124" s="1">
        <v>10680161</v>
      </c>
      <c r="J124" s="1" t="s">
        <v>45</v>
      </c>
      <c r="K124" s="1" t="s">
        <v>97</v>
      </c>
      <c r="L124" s="1" t="s">
        <v>66</v>
      </c>
      <c r="M124" s="1" t="s">
        <v>48</v>
      </c>
      <c r="N124" s="1" t="s">
        <v>98</v>
      </c>
      <c r="O124" s="1" t="s">
        <v>99</v>
      </c>
      <c r="P124" s="1" t="s">
        <v>100</v>
      </c>
      <c r="Q124" s="1">
        <v>10295176</v>
      </c>
      <c r="R124" s="1" t="s">
        <v>602</v>
      </c>
      <c r="S124" s="3" t="s">
        <v>603</v>
      </c>
      <c r="T124" s="1" t="s">
        <v>52</v>
      </c>
      <c r="U124" s="1" t="s">
        <v>53</v>
      </c>
      <c r="V124" s="1" t="s">
        <v>54</v>
      </c>
      <c r="W124" s="1" t="s">
        <v>55</v>
      </c>
      <c r="X124" s="1">
        <v>1</v>
      </c>
      <c r="Y124" s="10" t="s">
        <v>604</v>
      </c>
      <c r="Z124" s="10"/>
      <c r="AA124" s="10"/>
      <c r="AB124" s="10" t="s">
        <v>610</v>
      </c>
      <c r="AC124" s="32" t="s">
        <v>102</v>
      </c>
      <c r="AD124" s="10"/>
      <c r="AE124" s="10"/>
      <c r="AF124" s="10" t="s">
        <v>59</v>
      </c>
      <c r="AG124" s="10"/>
      <c r="AH124" s="10"/>
      <c r="AI124" s="24">
        <v>0.25</v>
      </c>
      <c r="AJ124" s="24">
        <v>0.625</v>
      </c>
    </row>
    <row r="125" spans="1:36" ht="14.25" customHeight="1">
      <c r="D125" t="s">
        <v>646</v>
      </c>
      <c r="E125" t="s">
        <v>647</v>
      </c>
      <c r="F125" t="str">
        <f>D125&amp;" "&amp;E125</f>
        <v>สุกานดา โอระนำ</v>
      </c>
      <c r="S125" s="3" t="s">
        <v>603</v>
      </c>
      <c r="AA125" s="10"/>
      <c r="AB125" t="s">
        <v>610</v>
      </c>
      <c r="AC125" s="32" t="s">
        <v>102</v>
      </c>
      <c r="AF125" s="10" t="s">
        <v>59</v>
      </c>
      <c r="AG125" s="42">
        <v>0.20833333333333334</v>
      </c>
      <c r="AH125" s="42">
        <v>0.58333333333333337</v>
      </c>
    </row>
    <row r="126" spans="1:36" ht="14.25" customHeight="1">
      <c r="D126" t="s">
        <v>368</v>
      </c>
      <c r="E126" t="s">
        <v>648</v>
      </c>
      <c r="F126" t="str">
        <f>D126&amp;" "&amp;E126</f>
        <v>สุกัญญา นาร้อยเอ็ด</v>
      </c>
      <c r="S126" s="3" t="s">
        <v>603</v>
      </c>
      <c r="AA126" s="10"/>
      <c r="AB126" t="s">
        <v>610</v>
      </c>
      <c r="AC126" s="32" t="s">
        <v>102</v>
      </c>
      <c r="AF126" s="10" t="s">
        <v>59</v>
      </c>
      <c r="AG126" s="42">
        <v>0.20833333333333334</v>
      </c>
      <c r="AH126" s="42">
        <v>0.58333333333333337</v>
      </c>
    </row>
    <row r="127" spans="1:36" ht="14.25" customHeight="1">
      <c r="D127" t="s">
        <v>649</v>
      </c>
      <c r="E127" t="s">
        <v>104</v>
      </c>
      <c r="F127" t="str">
        <f>D127&amp;" "&amp;E127</f>
        <v>วรกพ ชูเกาะ</v>
      </c>
      <c r="S127" s="3" t="s">
        <v>603</v>
      </c>
      <c r="AA127" s="10"/>
      <c r="AB127" t="s">
        <v>610</v>
      </c>
      <c r="AC127" s="32" t="s">
        <v>102</v>
      </c>
      <c r="AF127" s="10" t="s">
        <v>59</v>
      </c>
    </row>
    <row r="128" spans="1:36" ht="14.25" customHeight="1">
      <c r="A128">
        <v>26</v>
      </c>
      <c r="B128" s="1">
        <v>10345735</v>
      </c>
      <c r="C128" s="1" t="s">
        <v>39</v>
      </c>
      <c r="D128" s="1" t="s">
        <v>650</v>
      </c>
      <c r="E128" s="1" t="s">
        <v>651</v>
      </c>
      <c r="F128" s="1" t="str">
        <f>D128&amp;" "&amp;E128</f>
        <v>เรณู อุทุมพิรัตน์</v>
      </c>
      <c r="G128" s="1" t="s">
        <v>652</v>
      </c>
      <c r="H128" s="1" t="s">
        <v>653</v>
      </c>
      <c r="I128" s="1" t="s">
        <v>654</v>
      </c>
      <c r="J128" s="1" t="s">
        <v>45</v>
      </c>
      <c r="K128" s="2">
        <v>43350</v>
      </c>
      <c r="L128" s="1" t="s">
        <v>47</v>
      </c>
      <c r="M128" s="1" t="s">
        <v>48</v>
      </c>
      <c r="N128" s="1" t="s">
        <v>48</v>
      </c>
      <c r="O128" s="2">
        <v>43231</v>
      </c>
      <c r="P128" s="2">
        <v>43231</v>
      </c>
      <c r="Q128" s="1">
        <v>10358515</v>
      </c>
      <c r="R128" s="1" t="s">
        <v>655</v>
      </c>
      <c r="S128" s="3" t="s">
        <v>603</v>
      </c>
      <c r="T128" s="1" t="s">
        <v>52</v>
      </c>
      <c r="U128" s="1" t="s">
        <v>53</v>
      </c>
      <c r="V128" s="1" t="s">
        <v>54</v>
      </c>
      <c r="W128" s="1" t="s">
        <v>55</v>
      </c>
      <c r="X128" s="1">
        <v>1</v>
      </c>
      <c r="Y128" s="10" t="s">
        <v>604</v>
      </c>
      <c r="Z128" s="10"/>
      <c r="AA128" s="10"/>
      <c r="AB128" s="10" t="s">
        <v>610</v>
      </c>
      <c r="AC128" s="32" t="s">
        <v>102</v>
      </c>
      <c r="AD128" s="10"/>
      <c r="AE128" s="10"/>
      <c r="AF128" s="10" t="s">
        <v>77</v>
      </c>
      <c r="AG128" s="10"/>
      <c r="AH128" s="10"/>
    </row>
    <row r="129" spans="1:43" ht="14.25" customHeight="1">
      <c r="A129">
        <v>361</v>
      </c>
      <c r="B129" s="1">
        <v>10680491</v>
      </c>
      <c r="C129" s="1" t="s">
        <v>39</v>
      </c>
      <c r="D129" s="1" t="s">
        <v>656</v>
      </c>
      <c r="E129" s="1" t="s">
        <v>657</v>
      </c>
      <c r="F129" s="1" t="str">
        <f>D129&amp;" "&amp;E129</f>
        <v>ปนัดดา ศรีวารี</v>
      </c>
      <c r="G129" s="1" t="s">
        <v>658</v>
      </c>
      <c r="H129" s="1" t="s">
        <v>659</v>
      </c>
      <c r="I129" s="1">
        <v>10680491</v>
      </c>
      <c r="J129" s="1" t="s">
        <v>45</v>
      </c>
      <c r="K129" s="1" t="s">
        <v>97</v>
      </c>
      <c r="L129" s="1" t="s">
        <v>66</v>
      </c>
      <c r="M129" s="1" t="s">
        <v>48</v>
      </c>
      <c r="N129" s="1" t="s">
        <v>98</v>
      </c>
      <c r="O129" s="1" t="s">
        <v>99</v>
      </c>
      <c r="P129" s="1" t="s">
        <v>100</v>
      </c>
      <c r="Q129" s="1">
        <v>10358497</v>
      </c>
      <c r="R129" s="1" t="s">
        <v>620</v>
      </c>
      <c r="S129" s="3" t="s">
        <v>603</v>
      </c>
      <c r="T129" s="1" t="s">
        <v>52</v>
      </c>
      <c r="U129" s="1" t="s">
        <v>53</v>
      </c>
      <c r="V129" s="1" t="s">
        <v>54</v>
      </c>
      <c r="W129" s="1" t="s">
        <v>55</v>
      </c>
      <c r="X129" s="1">
        <v>1</v>
      </c>
      <c r="Y129" s="10" t="s">
        <v>604</v>
      </c>
      <c r="Z129" s="10"/>
      <c r="AA129" s="10"/>
      <c r="AB129" s="10" t="s">
        <v>610</v>
      </c>
      <c r="AC129" s="32" t="s">
        <v>102</v>
      </c>
      <c r="AD129" s="10"/>
      <c r="AE129" s="10"/>
      <c r="AF129" s="10" t="s">
        <v>77</v>
      </c>
      <c r="AG129" s="10"/>
      <c r="AH129" s="10"/>
    </row>
    <row r="130" spans="1:43" ht="14.25" customHeight="1">
      <c r="A130">
        <v>262</v>
      </c>
      <c r="B130" s="1">
        <v>10658462</v>
      </c>
      <c r="C130" s="1" t="s">
        <v>39</v>
      </c>
      <c r="D130" s="1" t="s">
        <v>660</v>
      </c>
      <c r="E130" s="1" t="s">
        <v>661</v>
      </c>
      <c r="F130" s="1" t="str">
        <f>D130&amp;" "&amp;E130</f>
        <v>บุษบา เทพตาแสง</v>
      </c>
      <c r="G130" s="1" t="s">
        <v>662</v>
      </c>
      <c r="H130" s="1" t="s">
        <v>663</v>
      </c>
      <c r="I130" s="1">
        <v>10658462</v>
      </c>
      <c r="J130" s="1" t="s">
        <v>45</v>
      </c>
      <c r="K130" s="2">
        <v>45785</v>
      </c>
      <c r="L130" s="1" t="s">
        <v>66</v>
      </c>
      <c r="M130" s="1" t="s">
        <v>48</v>
      </c>
      <c r="N130" s="1" t="s">
        <v>48</v>
      </c>
      <c r="O130" s="2">
        <v>45700</v>
      </c>
      <c r="P130" s="2">
        <v>45700</v>
      </c>
      <c r="Q130" s="1">
        <v>10295177</v>
      </c>
      <c r="R130" s="1" t="s">
        <v>602</v>
      </c>
      <c r="S130" s="3" t="s">
        <v>603</v>
      </c>
      <c r="T130" s="1" t="s">
        <v>52</v>
      </c>
      <c r="U130" s="1" t="s">
        <v>53</v>
      </c>
      <c r="V130" s="1" t="s">
        <v>54</v>
      </c>
      <c r="W130" s="1" t="s">
        <v>55</v>
      </c>
      <c r="X130" s="1">
        <v>1</v>
      </c>
      <c r="Y130" s="10" t="s">
        <v>604</v>
      </c>
      <c r="Z130" s="10"/>
      <c r="AA130" s="10"/>
      <c r="AB130" s="10" t="s">
        <v>610</v>
      </c>
      <c r="AC130" s="32" t="s">
        <v>102</v>
      </c>
      <c r="AD130" s="10"/>
      <c r="AE130" s="10"/>
      <c r="AF130" s="10" t="s">
        <v>77</v>
      </c>
      <c r="AG130" s="10"/>
      <c r="AH130" s="10"/>
    </row>
    <row r="131" spans="1:43" ht="14.25" customHeight="1">
      <c r="A131">
        <v>246</v>
      </c>
      <c r="B131" s="1">
        <v>10656629</v>
      </c>
      <c r="C131" s="1" t="s">
        <v>39</v>
      </c>
      <c r="D131" s="1" t="s">
        <v>664</v>
      </c>
      <c r="E131" s="1" t="s">
        <v>665</v>
      </c>
      <c r="F131" s="1" t="str">
        <f>D131&amp;" "&amp;E131</f>
        <v>จิราพา มณีสุข</v>
      </c>
      <c r="G131" s="1" t="s">
        <v>666</v>
      </c>
      <c r="H131" s="1" t="s">
        <v>667</v>
      </c>
      <c r="I131" s="1">
        <v>10656629</v>
      </c>
      <c r="J131" s="1" t="s">
        <v>45</v>
      </c>
      <c r="K131" s="1" t="s">
        <v>668</v>
      </c>
      <c r="L131" s="1" t="s">
        <v>66</v>
      </c>
      <c r="M131" s="1" t="s">
        <v>48</v>
      </c>
      <c r="N131" s="1" t="s">
        <v>48</v>
      </c>
      <c r="O131" s="1" t="s">
        <v>669</v>
      </c>
      <c r="P131" s="1" t="s">
        <v>669</v>
      </c>
      <c r="Q131" s="1">
        <v>10295177</v>
      </c>
      <c r="R131" s="1" t="s">
        <v>602</v>
      </c>
      <c r="S131" s="3" t="s">
        <v>603</v>
      </c>
      <c r="T131" s="1" t="s">
        <v>52</v>
      </c>
      <c r="U131" s="1" t="s">
        <v>53</v>
      </c>
      <c r="V131" s="1" t="s">
        <v>54</v>
      </c>
      <c r="W131" s="1" t="s">
        <v>55</v>
      </c>
      <c r="X131" s="1">
        <v>1</v>
      </c>
      <c r="Y131" s="10" t="s">
        <v>604</v>
      </c>
      <c r="Z131" s="10"/>
      <c r="AA131" s="10"/>
      <c r="AB131" s="10" t="s">
        <v>610</v>
      </c>
      <c r="AC131" s="32" t="s">
        <v>102</v>
      </c>
      <c r="AD131" s="10"/>
      <c r="AE131" s="10"/>
      <c r="AF131" s="10" t="s">
        <v>77</v>
      </c>
      <c r="AG131" s="10"/>
      <c r="AH131" s="10"/>
    </row>
    <row r="132" spans="1:43" ht="14.25" customHeight="1">
      <c r="A132">
        <v>19</v>
      </c>
      <c r="B132" s="1">
        <v>10328607</v>
      </c>
      <c r="C132" s="1" t="s">
        <v>39</v>
      </c>
      <c r="D132" s="1" t="s">
        <v>670</v>
      </c>
      <c r="E132" s="1" t="s">
        <v>671</v>
      </c>
      <c r="F132" s="1" t="str">
        <f>D132&amp;" "&amp;E132</f>
        <v>กุ้ง อ่างบุญตา</v>
      </c>
      <c r="G132" s="1" t="s">
        <v>672</v>
      </c>
      <c r="H132" s="1" t="s">
        <v>673</v>
      </c>
      <c r="I132" s="1">
        <v>10328607</v>
      </c>
      <c r="J132" s="1" t="s">
        <v>45</v>
      </c>
      <c r="K132" s="2">
        <v>43102</v>
      </c>
      <c r="L132" s="1" t="s">
        <v>66</v>
      </c>
      <c r="M132" s="1" t="s">
        <v>48</v>
      </c>
      <c r="N132" s="1" t="s">
        <v>48</v>
      </c>
      <c r="O132" s="1" t="s">
        <v>674</v>
      </c>
      <c r="P132" s="1" t="s">
        <v>674</v>
      </c>
      <c r="Q132" s="1">
        <v>10295177</v>
      </c>
      <c r="R132" s="1" t="s">
        <v>602</v>
      </c>
      <c r="S132" s="3" t="s">
        <v>603</v>
      </c>
      <c r="T132" s="1" t="s">
        <v>52</v>
      </c>
      <c r="U132" s="1" t="s">
        <v>53</v>
      </c>
      <c r="V132" s="1" t="s">
        <v>54</v>
      </c>
      <c r="W132" s="1" t="s">
        <v>55</v>
      </c>
      <c r="X132" s="1">
        <v>1</v>
      </c>
      <c r="Y132" s="10" t="s">
        <v>604</v>
      </c>
      <c r="Z132" s="10"/>
      <c r="AA132" s="10"/>
      <c r="AB132" s="10" t="s">
        <v>610</v>
      </c>
      <c r="AC132" s="32" t="s">
        <v>102</v>
      </c>
      <c r="AD132" s="10"/>
      <c r="AE132" s="10"/>
      <c r="AF132" s="10" t="s">
        <v>77</v>
      </c>
      <c r="AG132" s="10"/>
      <c r="AH132" s="10"/>
    </row>
    <row r="133" spans="1:43" ht="14.25" customHeight="1">
      <c r="A133">
        <v>428</v>
      </c>
      <c r="B133" s="1">
        <v>10691718</v>
      </c>
      <c r="C133" s="1" t="s">
        <v>627</v>
      </c>
      <c r="D133" s="1" t="s">
        <v>675</v>
      </c>
      <c r="E133" s="1" t="s">
        <v>631</v>
      </c>
      <c r="F133" s="1" t="str">
        <f>D133&amp;" "&amp;E133</f>
        <v>YE WAI -</v>
      </c>
      <c r="G133" s="1" t="s">
        <v>675</v>
      </c>
      <c r="H133" s="1" t="s">
        <v>631</v>
      </c>
      <c r="I133" s="1">
        <v>10691718</v>
      </c>
      <c r="J133" s="1" t="s">
        <v>45</v>
      </c>
      <c r="K133" s="2">
        <v>46026</v>
      </c>
      <c r="L133" s="1" t="s">
        <v>66</v>
      </c>
      <c r="M133" s="1" t="s">
        <v>48</v>
      </c>
      <c r="N133" s="1" t="s">
        <v>98</v>
      </c>
      <c r="O133" s="1" t="s">
        <v>466</v>
      </c>
      <c r="P133" s="1" t="s">
        <v>100</v>
      </c>
      <c r="Q133" s="1">
        <v>10295177</v>
      </c>
      <c r="R133" s="1" t="s">
        <v>602</v>
      </c>
      <c r="S133" s="3" t="s">
        <v>603</v>
      </c>
      <c r="T133" s="1" t="s">
        <v>52</v>
      </c>
      <c r="U133" s="1" t="s">
        <v>53</v>
      </c>
      <c r="V133" s="1" t="s">
        <v>54</v>
      </c>
      <c r="W133" s="1" t="s">
        <v>632</v>
      </c>
      <c r="X133" s="1">
        <v>1</v>
      </c>
      <c r="Y133" s="10" t="s">
        <v>604</v>
      </c>
      <c r="Z133" s="10"/>
      <c r="AA133" s="10"/>
      <c r="AB133" s="10" t="s">
        <v>610</v>
      </c>
      <c r="AC133" s="32" t="s">
        <v>102</v>
      </c>
      <c r="AD133" s="10"/>
      <c r="AE133" s="10"/>
      <c r="AF133" s="10" t="s">
        <v>77</v>
      </c>
      <c r="AG133" s="10"/>
      <c r="AH133" s="10"/>
    </row>
    <row r="134" spans="1:43" ht="14.25" customHeight="1">
      <c r="A134">
        <v>420</v>
      </c>
      <c r="B134" s="1">
        <v>10691691</v>
      </c>
      <c r="C134" s="1" t="s">
        <v>627</v>
      </c>
      <c r="D134" s="1" t="s">
        <v>676</v>
      </c>
      <c r="E134" s="1" t="s">
        <v>631</v>
      </c>
      <c r="F134" s="1" t="str">
        <f>D134&amp;" "&amp;E134</f>
        <v>MYINT SANDAR TUN -</v>
      </c>
      <c r="G134" s="1" t="s">
        <v>676</v>
      </c>
      <c r="H134" s="1" t="s">
        <v>631</v>
      </c>
      <c r="I134" s="1">
        <v>10691691</v>
      </c>
      <c r="J134" s="1" t="s">
        <v>45</v>
      </c>
      <c r="K134" s="2">
        <v>46026</v>
      </c>
      <c r="L134" s="1" t="s">
        <v>66</v>
      </c>
      <c r="M134" s="1" t="s">
        <v>48</v>
      </c>
      <c r="N134" s="1" t="s">
        <v>98</v>
      </c>
      <c r="O134" s="1" t="s">
        <v>466</v>
      </c>
      <c r="P134" s="1" t="s">
        <v>100</v>
      </c>
      <c r="Q134" s="1">
        <v>10295177</v>
      </c>
      <c r="R134" s="1" t="s">
        <v>602</v>
      </c>
      <c r="S134" s="3" t="s">
        <v>603</v>
      </c>
      <c r="T134" s="1" t="s">
        <v>52</v>
      </c>
      <c r="U134" s="1" t="s">
        <v>53</v>
      </c>
      <c r="V134" s="1" t="s">
        <v>54</v>
      </c>
      <c r="W134" s="1" t="s">
        <v>632</v>
      </c>
      <c r="X134" s="1">
        <v>1</v>
      </c>
      <c r="Y134" s="10" t="s">
        <v>604</v>
      </c>
      <c r="Z134" s="10"/>
      <c r="AA134" s="10"/>
      <c r="AB134" s="10" t="s">
        <v>610</v>
      </c>
      <c r="AC134" s="32" t="s">
        <v>102</v>
      </c>
      <c r="AD134" s="10"/>
      <c r="AE134" s="10"/>
      <c r="AF134" s="10" t="s">
        <v>77</v>
      </c>
      <c r="AG134" s="10"/>
      <c r="AH134" s="10"/>
    </row>
    <row r="135" spans="1:43" ht="14.25" customHeight="1">
      <c r="A135">
        <v>431</v>
      </c>
      <c r="B135" s="1">
        <v>10691741</v>
      </c>
      <c r="C135" s="1" t="s">
        <v>415</v>
      </c>
      <c r="D135" s="1" t="s">
        <v>677</v>
      </c>
      <c r="E135" s="1" t="s">
        <v>631</v>
      </c>
      <c r="F135" s="1" t="str">
        <f>D135&amp;" "&amp;E135</f>
        <v>KYAW WIN HTAY -</v>
      </c>
      <c r="G135" s="1" t="s">
        <v>677</v>
      </c>
      <c r="H135" s="1" t="s">
        <v>631</v>
      </c>
      <c r="I135" s="1">
        <v>10691741</v>
      </c>
      <c r="J135" s="1" t="s">
        <v>45</v>
      </c>
      <c r="K135" s="2">
        <v>46238</v>
      </c>
      <c r="L135" s="1" t="s">
        <v>66</v>
      </c>
      <c r="M135" s="1" t="s">
        <v>48</v>
      </c>
      <c r="N135" s="1" t="s">
        <v>98</v>
      </c>
      <c r="O135" s="2">
        <v>46150</v>
      </c>
      <c r="P135" s="1" t="s">
        <v>100</v>
      </c>
      <c r="Q135" s="1">
        <v>10295177</v>
      </c>
      <c r="R135" s="1" t="s">
        <v>602</v>
      </c>
      <c r="S135" s="3" t="s">
        <v>603</v>
      </c>
      <c r="T135" s="1" t="s">
        <v>52</v>
      </c>
      <c r="U135" s="1" t="s">
        <v>53</v>
      </c>
      <c r="V135" s="1" t="s">
        <v>54</v>
      </c>
      <c r="W135" s="1" t="s">
        <v>632</v>
      </c>
      <c r="X135" s="1">
        <v>1</v>
      </c>
      <c r="Y135" s="10" t="s">
        <v>604</v>
      </c>
      <c r="Z135" s="10"/>
      <c r="AA135" s="10"/>
      <c r="AB135" s="10" t="s">
        <v>610</v>
      </c>
      <c r="AC135" s="32" t="s">
        <v>102</v>
      </c>
      <c r="AD135" s="10"/>
      <c r="AE135" s="10"/>
      <c r="AF135" s="10" t="s">
        <v>77</v>
      </c>
      <c r="AG135" s="10"/>
      <c r="AH135" s="10"/>
    </row>
    <row r="136" spans="1:43" ht="14.25" customHeight="1">
      <c r="A136">
        <v>430</v>
      </c>
      <c r="B136" s="1">
        <v>10691734</v>
      </c>
      <c r="C136" s="1" t="s">
        <v>627</v>
      </c>
      <c r="D136" s="1" t="s">
        <v>678</v>
      </c>
      <c r="E136" s="1" t="s">
        <v>631</v>
      </c>
      <c r="F136" s="1" t="str">
        <f>D136&amp;" "&amp;E136</f>
        <v>HNIN NUWAI -</v>
      </c>
      <c r="G136" s="1" t="s">
        <v>678</v>
      </c>
      <c r="H136" s="1" t="s">
        <v>631</v>
      </c>
      <c r="I136" s="1">
        <v>10691734</v>
      </c>
      <c r="J136" s="1" t="s">
        <v>45</v>
      </c>
      <c r="K136" s="2">
        <v>46238</v>
      </c>
      <c r="L136" s="1" t="s">
        <v>66</v>
      </c>
      <c r="M136" s="1" t="s">
        <v>48</v>
      </c>
      <c r="N136" s="1" t="s">
        <v>98</v>
      </c>
      <c r="O136" s="2">
        <v>46150</v>
      </c>
      <c r="P136" s="1" t="s">
        <v>100</v>
      </c>
      <c r="Q136" s="1">
        <v>10295177</v>
      </c>
      <c r="R136" s="1" t="s">
        <v>602</v>
      </c>
      <c r="S136" s="3" t="s">
        <v>603</v>
      </c>
      <c r="T136" s="1" t="s">
        <v>52</v>
      </c>
      <c r="U136" s="1" t="s">
        <v>53</v>
      </c>
      <c r="V136" s="1" t="s">
        <v>54</v>
      </c>
      <c r="W136" s="1" t="s">
        <v>632</v>
      </c>
      <c r="X136" s="1">
        <v>1</v>
      </c>
      <c r="Y136" s="10" t="s">
        <v>604</v>
      </c>
      <c r="Z136" s="10"/>
      <c r="AA136" s="10"/>
      <c r="AB136" s="10" t="s">
        <v>610</v>
      </c>
      <c r="AC136" s="32" t="s">
        <v>102</v>
      </c>
      <c r="AD136" s="10"/>
      <c r="AE136" s="10"/>
      <c r="AF136" s="10" t="s">
        <v>77</v>
      </c>
      <c r="AG136" s="10"/>
      <c r="AH136" s="10"/>
    </row>
    <row r="137" spans="1:43" ht="14.25" customHeight="1">
      <c r="A137">
        <v>170</v>
      </c>
      <c r="B137" s="1">
        <v>10604064</v>
      </c>
      <c r="C137" s="1" t="s">
        <v>627</v>
      </c>
      <c r="D137" s="1" t="s">
        <v>679</v>
      </c>
      <c r="E137" s="1" t="s">
        <v>680</v>
      </c>
      <c r="F137" s="1" t="str">
        <f>D137&amp;" "&amp;E137</f>
        <v>HAN YIM</v>
      </c>
      <c r="G137" s="1" t="s">
        <v>679</v>
      </c>
      <c r="H137" s="1" t="s">
        <v>680</v>
      </c>
      <c r="I137" s="1">
        <v>10604064</v>
      </c>
      <c r="J137" s="1" t="s">
        <v>45</v>
      </c>
      <c r="K137" s="2">
        <v>45569</v>
      </c>
      <c r="L137" s="1" t="s">
        <v>66</v>
      </c>
      <c r="M137" s="1" t="s">
        <v>48</v>
      </c>
      <c r="N137" s="1" t="s">
        <v>48</v>
      </c>
      <c r="O137" s="2">
        <v>45481</v>
      </c>
      <c r="P137" s="2">
        <v>45481</v>
      </c>
      <c r="Q137" s="1">
        <v>10295177</v>
      </c>
      <c r="R137" s="1" t="s">
        <v>602</v>
      </c>
      <c r="S137" s="3" t="s">
        <v>603</v>
      </c>
      <c r="T137" s="1" t="s">
        <v>52</v>
      </c>
      <c r="U137" s="1" t="s">
        <v>53</v>
      </c>
      <c r="V137" s="1" t="s">
        <v>54</v>
      </c>
      <c r="W137" s="1" t="s">
        <v>418</v>
      </c>
      <c r="X137" s="1">
        <v>1</v>
      </c>
      <c r="Y137" s="10" t="s">
        <v>604</v>
      </c>
      <c r="Z137" s="10"/>
      <c r="AA137" s="10"/>
      <c r="AB137" s="10" t="s">
        <v>610</v>
      </c>
      <c r="AC137" s="32" t="s">
        <v>102</v>
      </c>
      <c r="AD137" s="10"/>
      <c r="AE137" s="10"/>
      <c r="AF137" s="10" t="s">
        <v>77</v>
      </c>
      <c r="AG137" s="10"/>
      <c r="AH137" s="10"/>
    </row>
    <row r="138" spans="1:43" ht="14.25" customHeight="1">
      <c r="A138">
        <v>149</v>
      </c>
      <c r="B138" s="1">
        <v>10569574</v>
      </c>
      <c r="C138" s="1" t="s">
        <v>39</v>
      </c>
      <c r="D138" s="1" t="s">
        <v>681</v>
      </c>
      <c r="E138" s="1" t="s">
        <v>562</v>
      </c>
      <c r="F138" s="1" t="str">
        <f>D138&amp;" "&amp;E138</f>
        <v>สุธิตรี สุรินทร์</v>
      </c>
      <c r="G138" s="1" t="s">
        <v>682</v>
      </c>
      <c r="H138" s="1" t="s">
        <v>563</v>
      </c>
      <c r="I138" s="1">
        <v>10569574</v>
      </c>
      <c r="J138" s="1" t="s">
        <v>45</v>
      </c>
      <c r="K138" s="2">
        <v>45025</v>
      </c>
      <c r="L138" s="1" t="s">
        <v>66</v>
      </c>
      <c r="M138" s="1" t="s">
        <v>48</v>
      </c>
      <c r="N138" s="1" t="s">
        <v>48</v>
      </c>
      <c r="O138" s="2">
        <v>45292</v>
      </c>
      <c r="P138" s="2">
        <v>45292</v>
      </c>
      <c r="Q138" s="1">
        <v>10358501</v>
      </c>
      <c r="R138" s="1" t="s">
        <v>683</v>
      </c>
      <c r="S138" s="3" t="s">
        <v>603</v>
      </c>
      <c r="T138" s="1" t="s">
        <v>52</v>
      </c>
      <c r="U138" s="1" t="s">
        <v>53</v>
      </c>
      <c r="V138" s="1" t="s">
        <v>54</v>
      </c>
      <c r="W138" s="1" t="s">
        <v>55</v>
      </c>
      <c r="X138" s="1">
        <v>1</v>
      </c>
      <c r="Y138" s="10" t="s">
        <v>604</v>
      </c>
      <c r="Z138" s="10"/>
      <c r="AA138" s="10"/>
      <c r="AB138" s="10" t="s">
        <v>684</v>
      </c>
      <c r="AC138" s="32" t="s">
        <v>102</v>
      </c>
      <c r="AD138" s="10"/>
      <c r="AE138" s="10"/>
      <c r="AF138" s="10" t="s">
        <v>59</v>
      </c>
      <c r="AG138" s="10"/>
      <c r="AH138" s="10"/>
      <c r="AI138" s="24">
        <v>0.33333333333333331</v>
      </c>
      <c r="AJ138" s="24">
        <v>0.70833333333333337</v>
      </c>
    </row>
    <row r="139" spans="1:43" ht="14.25" customHeight="1">
      <c r="A139">
        <v>250</v>
      </c>
      <c r="B139" s="1">
        <v>10656681</v>
      </c>
      <c r="C139" s="1" t="s">
        <v>39</v>
      </c>
      <c r="D139" s="1" t="s">
        <v>685</v>
      </c>
      <c r="E139" s="1" t="s">
        <v>686</v>
      </c>
      <c r="F139" s="1" t="str">
        <f>D139&amp;" "&amp;E139</f>
        <v>วณิชา ปานอารีย์</v>
      </c>
      <c r="G139" s="1" t="s">
        <v>687</v>
      </c>
      <c r="H139" s="1" t="s">
        <v>688</v>
      </c>
      <c r="I139" s="1">
        <v>10656681</v>
      </c>
      <c r="J139" s="1" t="s">
        <v>45</v>
      </c>
      <c r="K139" s="1" t="s">
        <v>668</v>
      </c>
      <c r="L139" s="1" t="s">
        <v>66</v>
      </c>
      <c r="M139" s="1" t="s">
        <v>48</v>
      </c>
      <c r="N139" s="1" t="s">
        <v>48</v>
      </c>
      <c r="O139" s="1" t="s">
        <v>669</v>
      </c>
      <c r="P139" s="1" t="s">
        <v>669</v>
      </c>
      <c r="Q139" s="1">
        <v>10358499</v>
      </c>
      <c r="R139" s="1" t="s">
        <v>689</v>
      </c>
      <c r="S139" s="3" t="s">
        <v>603</v>
      </c>
      <c r="T139" s="1" t="s">
        <v>52</v>
      </c>
      <c r="U139" s="1" t="s">
        <v>53</v>
      </c>
      <c r="V139" s="1" t="s">
        <v>54</v>
      </c>
      <c r="W139" s="1" t="s">
        <v>55</v>
      </c>
      <c r="X139" s="1">
        <v>1</v>
      </c>
      <c r="Y139" s="10" t="s">
        <v>604</v>
      </c>
      <c r="Z139" s="10"/>
      <c r="AA139" s="10"/>
      <c r="AB139" s="10" t="s">
        <v>684</v>
      </c>
      <c r="AC139" s="32" t="s">
        <v>102</v>
      </c>
      <c r="AD139" s="10"/>
      <c r="AE139" s="10"/>
      <c r="AF139" s="10" t="s">
        <v>59</v>
      </c>
      <c r="AG139" s="10"/>
      <c r="AH139" s="10"/>
      <c r="AI139" s="24">
        <v>0.33333333333333331</v>
      </c>
      <c r="AJ139" s="24">
        <v>0.70833333333333337</v>
      </c>
    </row>
    <row r="140" spans="1:43" ht="14.25" customHeight="1">
      <c r="A140">
        <v>360</v>
      </c>
      <c r="B140" s="1">
        <v>10680482</v>
      </c>
      <c r="C140" s="1" t="s">
        <v>39</v>
      </c>
      <c r="D140" s="1" t="s">
        <v>690</v>
      </c>
      <c r="E140" s="1" t="s">
        <v>691</v>
      </c>
      <c r="F140" s="1" t="str">
        <f>D140&amp;" "&amp;E140</f>
        <v>รัตติกาล จั่นเสือ</v>
      </c>
      <c r="G140" s="1" t="s">
        <v>692</v>
      </c>
      <c r="H140" s="1" t="s">
        <v>693</v>
      </c>
      <c r="I140" s="1">
        <v>10680482</v>
      </c>
      <c r="J140" s="1" t="s">
        <v>45</v>
      </c>
      <c r="K140" s="1" t="s">
        <v>97</v>
      </c>
      <c r="L140" s="1" t="s">
        <v>66</v>
      </c>
      <c r="M140" s="1" t="s">
        <v>48</v>
      </c>
      <c r="N140" s="1" t="s">
        <v>98</v>
      </c>
      <c r="O140" s="1" t="s">
        <v>99</v>
      </c>
      <c r="P140" s="1" t="s">
        <v>100</v>
      </c>
      <c r="Q140" s="1">
        <v>10358501</v>
      </c>
      <c r="R140" s="1" t="s">
        <v>683</v>
      </c>
      <c r="S140" s="3" t="s">
        <v>603</v>
      </c>
      <c r="T140" s="1" t="s">
        <v>52</v>
      </c>
      <c r="U140" s="1" t="s">
        <v>53</v>
      </c>
      <c r="V140" s="1" t="s">
        <v>54</v>
      </c>
      <c r="W140" s="1" t="s">
        <v>55</v>
      </c>
      <c r="X140" s="1">
        <v>1</v>
      </c>
      <c r="Y140" s="10" t="s">
        <v>604</v>
      </c>
      <c r="Z140" s="10"/>
      <c r="AA140" s="10"/>
      <c r="AB140" s="10" t="s">
        <v>684</v>
      </c>
      <c r="AC140" s="32" t="s">
        <v>102</v>
      </c>
      <c r="AD140" s="10"/>
      <c r="AE140" s="10"/>
      <c r="AF140" s="10" t="s">
        <v>59</v>
      </c>
      <c r="AG140" s="10"/>
      <c r="AH140" s="10"/>
      <c r="AI140" s="24">
        <v>0.33333333333333331</v>
      </c>
      <c r="AJ140" s="24">
        <v>0.70833333333333337</v>
      </c>
    </row>
    <row r="141" spans="1:43" ht="14.25" customHeight="1">
      <c r="A141">
        <v>184</v>
      </c>
      <c r="B141" s="1">
        <v>10607490</v>
      </c>
      <c r="C141" s="1" t="s">
        <v>39</v>
      </c>
      <c r="D141" s="1" t="s">
        <v>694</v>
      </c>
      <c r="E141" s="1" t="s">
        <v>695</v>
      </c>
      <c r="F141" s="1" t="str">
        <f>D141&amp;" "&amp;E141</f>
        <v>พัณณ์ชิตา ตั้งชัยวรรณา</v>
      </c>
      <c r="G141" s="1" t="s">
        <v>696</v>
      </c>
      <c r="H141" s="1" t="s">
        <v>697</v>
      </c>
      <c r="I141" s="1">
        <v>10607490</v>
      </c>
      <c r="J141" s="1" t="s">
        <v>45</v>
      </c>
      <c r="K141" s="2">
        <v>45540</v>
      </c>
      <c r="L141" s="1" t="s">
        <v>66</v>
      </c>
      <c r="M141" s="1" t="s">
        <v>48</v>
      </c>
      <c r="N141" s="1" t="s">
        <v>48</v>
      </c>
      <c r="O141" s="2">
        <v>45421</v>
      </c>
      <c r="P141" s="2">
        <v>45421</v>
      </c>
      <c r="Q141" s="1">
        <v>10358497</v>
      </c>
      <c r="R141" s="1" t="s">
        <v>620</v>
      </c>
      <c r="S141" s="3" t="s">
        <v>603</v>
      </c>
      <c r="T141" s="1" t="s">
        <v>52</v>
      </c>
      <c r="U141" s="1" t="s">
        <v>53</v>
      </c>
      <c r="V141" s="1" t="s">
        <v>54</v>
      </c>
      <c r="W141" s="1" t="s">
        <v>55</v>
      </c>
      <c r="X141" s="1">
        <v>1</v>
      </c>
      <c r="Y141" s="10" t="s">
        <v>604</v>
      </c>
      <c r="Z141" s="10"/>
      <c r="AA141" s="10"/>
      <c r="AB141" s="10" t="s">
        <v>684</v>
      </c>
      <c r="AC141" s="32" t="s">
        <v>102</v>
      </c>
      <c r="AD141" s="10"/>
      <c r="AE141" s="10"/>
      <c r="AF141" s="10" t="s">
        <v>59</v>
      </c>
      <c r="AG141" s="10"/>
      <c r="AH141" s="10"/>
      <c r="AI141" s="24">
        <v>0.33333333333333331</v>
      </c>
      <c r="AJ141" s="24">
        <v>0.70833333333333337</v>
      </c>
      <c r="AQ141" s="38">
        <v>0.33333333333333331</v>
      </c>
    </row>
    <row r="142" spans="1:43" ht="14.25" customHeight="1">
      <c r="A142">
        <v>291</v>
      </c>
      <c r="B142" s="1">
        <v>10664053</v>
      </c>
      <c r="C142" s="1" t="s">
        <v>39</v>
      </c>
      <c r="D142" s="1" t="s">
        <v>698</v>
      </c>
      <c r="E142" s="1" t="s">
        <v>699</v>
      </c>
      <c r="F142" s="1" t="str">
        <f>D142&amp;" "&amp;E142</f>
        <v>น้ำหอม สิงหะ</v>
      </c>
      <c r="G142" s="1" t="s">
        <v>700</v>
      </c>
      <c r="H142" s="1" t="s">
        <v>701</v>
      </c>
      <c r="I142" s="1">
        <v>10664053</v>
      </c>
      <c r="J142" s="1" t="s">
        <v>45</v>
      </c>
      <c r="K142" s="2">
        <v>45878</v>
      </c>
      <c r="L142" s="1" t="s">
        <v>66</v>
      </c>
      <c r="M142" s="1" t="s">
        <v>48</v>
      </c>
      <c r="N142" s="1" t="s">
        <v>48</v>
      </c>
      <c r="O142" s="2">
        <v>46143</v>
      </c>
      <c r="P142" s="2">
        <v>46143</v>
      </c>
      <c r="Q142" s="1">
        <v>10358499</v>
      </c>
      <c r="R142" s="1" t="s">
        <v>689</v>
      </c>
      <c r="S142" s="3" t="s">
        <v>603</v>
      </c>
      <c r="T142" s="1" t="s">
        <v>52</v>
      </c>
      <c r="U142" s="1" t="s">
        <v>53</v>
      </c>
      <c r="V142" s="1" t="s">
        <v>54</v>
      </c>
      <c r="W142" s="1" t="s">
        <v>55</v>
      </c>
      <c r="X142" s="1">
        <v>1</v>
      </c>
      <c r="Y142" s="10" t="s">
        <v>604</v>
      </c>
      <c r="Z142" s="10"/>
      <c r="AA142" s="10"/>
      <c r="AB142" s="10" t="s">
        <v>684</v>
      </c>
      <c r="AC142" s="32" t="s">
        <v>102</v>
      </c>
      <c r="AD142" s="10"/>
      <c r="AE142" s="10"/>
      <c r="AF142" s="10" t="s">
        <v>59</v>
      </c>
      <c r="AG142" s="10"/>
      <c r="AH142" s="10"/>
      <c r="AI142" s="24">
        <v>0.33333333333333331</v>
      </c>
      <c r="AJ142" s="24">
        <v>0.70833333333333337</v>
      </c>
      <c r="AQ142" s="38">
        <v>0.33333333333333331</v>
      </c>
    </row>
    <row r="143" spans="1:43" ht="14.25" customHeight="1">
      <c r="A143">
        <v>395</v>
      </c>
      <c r="B143" s="1">
        <v>10688360</v>
      </c>
      <c r="C143" s="1" t="s">
        <v>92</v>
      </c>
      <c r="D143" s="1" t="s">
        <v>702</v>
      </c>
      <c r="E143" s="1" t="s">
        <v>703</v>
      </c>
      <c r="F143" s="1" t="str">
        <f>D143&amp;" "&amp;E143</f>
        <v>กฤษดา คลังทรัพย์</v>
      </c>
      <c r="G143" s="1" t="s">
        <v>704</v>
      </c>
      <c r="H143" s="1" t="s">
        <v>705</v>
      </c>
      <c r="I143" s="1">
        <v>10688360</v>
      </c>
      <c r="J143" s="1" t="s">
        <v>45</v>
      </c>
      <c r="K143" s="1" t="s">
        <v>471</v>
      </c>
      <c r="L143" s="1" t="s">
        <v>66</v>
      </c>
      <c r="M143" s="1" t="s">
        <v>48</v>
      </c>
      <c r="N143" s="1" t="s">
        <v>98</v>
      </c>
      <c r="O143" s="1" t="s">
        <v>472</v>
      </c>
      <c r="P143" s="1" t="s">
        <v>100</v>
      </c>
      <c r="Q143" s="1">
        <v>10358514</v>
      </c>
      <c r="R143" s="1" t="s">
        <v>706</v>
      </c>
      <c r="S143" s="3" t="s">
        <v>603</v>
      </c>
      <c r="T143" s="1" t="s">
        <v>52</v>
      </c>
      <c r="U143" s="1" t="s">
        <v>53</v>
      </c>
      <c r="V143" s="1" t="s">
        <v>54</v>
      </c>
      <c r="W143" s="1" t="s">
        <v>55</v>
      </c>
      <c r="X143" s="1">
        <v>1</v>
      </c>
      <c r="Y143" s="10" t="s">
        <v>604</v>
      </c>
      <c r="Z143" s="10"/>
      <c r="AA143" s="10"/>
      <c r="AB143" s="10" t="s">
        <v>684</v>
      </c>
      <c r="AC143" s="32" t="s">
        <v>102</v>
      </c>
      <c r="AD143" s="10"/>
      <c r="AE143" s="10"/>
      <c r="AF143" s="10" t="s">
        <v>59</v>
      </c>
      <c r="AG143" s="10"/>
      <c r="AH143" s="10"/>
      <c r="AI143" s="24">
        <v>0.33333333333333331</v>
      </c>
      <c r="AJ143" s="24">
        <v>0.70833333333333337</v>
      </c>
      <c r="AQ143" s="38">
        <v>0.33333333333333331</v>
      </c>
    </row>
    <row r="144" spans="1:43" ht="14.25" customHeight="1">
      <c r="A144">
        <v>282</v>
      </c>
      <c r="B144" s="1">
        <v>10661898</v>
      </c>
      <c r="C144" s="1" t="s">
        <v>39</v>
      </c>
      <c r="D144" s="1" t="s">
        <v>707</v>
      </c>
      <c r="E144" s="1" t="s">
        <v>708</v>
      </c>
      <c r="F144" s="1" t="str">
        <f>D144&amp;" "&amp;E144</f>
        <v>อมลรัตน์ คำนิสา</v>
      </c>
      <c r="G144" s="1" t="s">
        <v>709</v>
      </c>
      <c r="H144" s="1" t="s">
        <v>710</v>
      </c>
      <c r="I144" s="1">
        <v>10661898</v>
      </c>
      <c r="J144" s="1" t="s">
        <v>45</v>
      </c>
      <c r="K144" s="1" t="s">
        <v>711</v>
      </c>
      <c r="L144" s="1" t="s">
        <v>66</v>
      </c>
      <c r="M144" s="1" t="s">
        <v>48</v>
      </c>
      <c r="N144" s="1" t="s">
        <v>48</v>
      </c>
      <c r="O144" s="1" t="s">
        <v>712</v>
      </c>
      <c r="P144" s="1" t="s">
        <v>712</v>
      </c>
      <c r="Q144" s="1">
        <v>10358499</v>
      </c>
      <c r="R144" s="1" t="s">
        <v>689</v>
      </c>
      <c r="S144" s="3" t="s">
        <v>603</v>
      </c>
      <c r="T144" s="1" t="s">
        <v>52</v>
      </c>
      <c r="U144" s="1" t="s">
        <v>53</v>
      </c>
      <c r="V144" s="1" t="s">
        <v>54</v>
      </c>
      <c r="W144" s="1" t="s">
        <v>55</v>
      </c>
      <c r="X144" s="1">
        <v>1</v>
      </c>
      <c r="Y144" s="10" t="s">
        <v>604</v>
      </c>
      <c r="Z144" s="10"/>
      <c r="AA144" s="10"/>
      <c r="AB144" s="10" t="s">
        <v>684</v>
      </c>
      <c r="AC144" s="32" t="s">
        <v>102</v>
      </c>
      <c r="AD144" s="10"/>
      <c r="AE144" s="10"/>
      <c r="AF144" s="10" t="s">
        <v>77</v>
      </c>
      <c r="AG144" s="10"/>
      <c r="AH144" s="10"/>
      <c r="AL144" s="24">
        <v>0.54166666666666663</v>
      </c>
      <c r="AM144" s="24">
        <v>0.91666666666666663</v>
      </c>
      <c r="AQ144" s="38">
        <v>0.33333333333333331</v>
      </c>
    </row>
    <row r="145" spans="1:43" ht="14.25" customHeight="1">
      <c r="A145">
        <v>393</v>
      </c>
      <c r="B145" s="1">
        <v>10688353</v>
      </c>
      <c r="C145" s="1" t="s">
        <v>39</v>
      </c>
      <c r="D145" s="1" t="s">
        <v>713</v>
      </c>
      <c r="E145" s="1" t="s">
        <v>714</v>
      </c>
      <c r="F145" s="1" t="str">
        <f>D145&amp;" "&amp;E145</f>
        <v>สุนิศา เอนกวัฒน์</v>
      </c>
      <c r="G145" s="1" t="s">
        <v>531</v>
      </c>
      <c r="H145" s="1" t="s">
        <v>715</v>
      </c>
      <c r="I145" s="1">
        <v>10688353</v>
      </c>
      <c r="J145" s="1" t="s">
        <v>45</v>
      </c>
      <c r="K145" s="1" t="s">
        <v>471</v>
      </c>
      <c r="L145" s="1" t="s">
        <v>66</v>
      </c>
      <c r="M145" s="1" t="s">
        <v>48</v>
      </c>
      <c r="N145" s="1" t="s">
        <v>98</v>
      </c>
      <c r="O145" s="1" t="s">
        <v>472</v>
      </c>
      <c r="P145" s="1" t="s">
        <v>100</v>
      </c>
      <c r="Q145" s="1">
        <v>10358499</v>
      </c>
      <c r="R145" s="1" t="s">
        <v>689</v>
      </c>
      <c r="S145" s="3" t="s">
        <v>603</v>
      </c>
      <c r="T145" s="1" t="s">
        <v>52</v>
      </c>
      <c r="U145" s="1" t="s">
        <v>53</v>
      </c>
      <c r="V145" s="1" t="s">
        <v>54</v>
      </c>
      <c r="W145" s="1" t="s">
        <v>55</v>
      </c>
      <c r="X145" s="1">
        <v>1</v>
      </c>
      <c r="Y145" s="10" t="s">
        <v>604</v>
      </c>
      <c r="Z145" s="10"/>
      <c r="AA145" s="10"/>
      <c r="AB145" s="10" t="s">
        <v>684</v>
      </c>
      <c r="AC145" s="32" t="s">
        <v>102</v>
      </c>
      <c r="AD145" s="10"/>
      <c r="AE145" s="10"/>
      <c r="AF145" s="10" t="s">
        <v>77</v>
      </c>
      <c r="AG145" s="10"/>
      <c r="AH145" s="10"/>
      <c r="AL145" s="24">
        <v>0.54166666666666663</v>
      </c>
      <c r="AM145" s="24">
        <v>0.91666666666666663</v>
      </c>
      <c r="AQ145" s="38">
        <v>0.33333333333333331</v>
      </c>
    </row>
    <row r="146" spans="1:43" ht="14.25" customHeight="1">
      <c r="A146">
        <v>271</v>
      </c>
      <c r="B146" s="1">
        <v>10659537</v>
      </c>
      <c r="C146" s="1" t="s">
        <v>92</v>
      </c>
      <c r="D146" s="1" t="s">
        <v>716</v>
      </c>
      <c r="E146" s="1" t="s">
        <v>717</v>
      </c>
      <c r="F146" s="1" t="str">
        <f>D146&amp;" "&amp;E146</f>
        <v>พีรวัฒน์ สีสอน</v>
      </c>
      <c r="G146" s="1" t="s">
        <v>718</v>
      </c>
      <c r="H146" s="1" t="s">
        <v>719</v>
      </c>
      <c r="I146" s="1">
        <v>10659537</v>
      </c>
      <c r="J146" s="1" t="s">
        <v>45</v>
      </c>
      <c r="K146" s="2">
        <v>45969</v>
      </c>
      <c r="L146" s="1" t="s">
        <v>66</v>
      </c>
      <c r="M146" s="1" t="s">
        <v>48</v>
      </c>
      <c r="N146" s="1" t="s">
        <v>48</v>
      </c>
      <c r="O146" s="2">
        <v>45881</v>
      </c>
      <c r="P146" s="2">
        <v>45881</v>
      </c>
      <c r="Q146" s="1">
        <v>10358499</v>
      </c>
      <c r="R146" s="1" t="s">
        <v>689</v>
      </c>
      <c r="S146" s="3" t="s">
        <v>603</v>
      </c>
      <c r="T146" s="1" t="s">
        <v>52</v>
      </c>
      <c r="U146" s="1" t="s">
        <v>53</v>
      </c>
      <c r="V146" s="1" t="s">
        <v>54</v>
      </c>
      <c r="W146" s="1" t="s">
        <v>55</v>
      </c>
      <c r="X146" s="1">
        <v>1</v>
      </c>
      <c r="Y146" s="10" t="s">
        <v>604</v>
      </c>
      <c r="Z146" s="10"/>
      <c r="AA146" s="10"/>
      <c r="AB146" s="10" t="s">
        <v>684</v>
      </c>
      <c r="AC146" s="32" t="s">
        <v>102</v>
      </c>
      <c r="AD146" s="10"/>
      <c r="AE146" s="10"/>
      <c r="AF146" s="10" t="s">
        <v>77</v>
      </c>
      <c r="AG146" s="10"/>
      <c r="AH146" s="10"/>
      <c r="AL146" s="24">
        <v>0.54166666666666663</v>
      </c>
      <c r="AM146" s="24">
        <v>0.91666666666666663</v>
      </c>
      <c r="AQ146" s="38">
        <v>0.33333333333333331</v>
      </c>
    </row>
    <row r="147" spans="1:43" ht="14.25" customHeight="1">
      <c r="A147">
        <v>65</v>
      </c>
      <c r="B147" s="1">
        <v>10412348</v>
      </c>
      <c r="C147" s="1" t="s">
        <v>39</v>
      </c>
      <c r="D147" s="1" t="s">
        <v>720</v>
      </c>
      <c r="E147" s="1" t="s">
        <v>721</v>
      </c>
      <c r="F147" s="1" t="str">
        <f>D147&amp;" "&amp;E147</f>
        <v>ดาวเรือง นาคสังข์</v>
      </c>
      <c r="G147" s="1" t="s">
        <v>722</v>
      </c>
      <c r="H147" s="1" t="s">
        <v>723</v>
      </c>
      <c r="I147" s="1">
        <v>10412348</v>
      </c>
      <c r="J147" s="1" t="s">
        <v>45</v>
      </c>
      <c r="K147" s="2">
        <v>43872</v>
      </c>
      <c r="L147" s="1" t="s">
        <v>66</v>
      </c>
      <c r="M147" s="1" t="s">
        <v>48</v>
      </c>
      <c r="N147" s="1" t="s">
        <v>48</v>
      </c>
      <c r="O147" s="2">
        <v>44199</v>
      </c>
      <c r="P147" s="2">
        <v>44199</v>
      </c>
      <c r="Q147" s="1">
        <v>10358501</v>
      </c>
      <c r="R147" s="1" t="s">
        <v>683</v>
      </c>
      <c r="S147" s="3" t="s">
        <v>603</v>
      </c>
      <c r="T147" s="1" t="s">
        <v>52</v>
      </c>
      <c r="U147" s="1" t="s">
        <v>53</v>
      </c>
      <c r="V147" s="1" t="s">
        <v>54</v>
      </c>
      <c r="W147" s="1" t="s">
        <v>55</v>
      </c>
      <c r="X147" s="1">
        <v>1</v>
      </c>
      <c r="Y147" s="10" t="s">
        <v>604</v>
      </c>
      <c r="Z147" s="10"/>
      <c r="AA147" s="10"/>
      <c r="AB147" s="10" t="s">
        <v>684</v>
      </c>
      <c r="AC147" s="32" t="s">
        <v>102</v>
      </c>
      <c r="AD147" s="10"/>
      <c r="AE147" s="10"/>
      <c r="AF147" s="10" t="s">
        <v>77</v>
      </c>
      <c r="AG147" s="10"/>
      <c r="AH147" s="10"/>
      <c r="AL147" s="24">
        <v>0.54166666666666663</v>
      </c>
      <c r="AM147" s="24">
        <v>0.91666666666666663</v>
      </c>
      <c r="AQ147" s="38">
        <v>0.33333333333333331</v>
      </c>
    </row>
    <row r="148" spans="1:43" ht="14.25" customHeight="1">
      <c r="D148" t="s">
        <v>724</v>
      </c>
      <c r="E148" t="s">
        <v>725</v>
      </c>
      <c r="F148" t="str">
        <f>D148&amp;" "&amp;E148</f>
        <v>จีรนุช บุญบำรุง</v>
      </c>
      <c r="S148" s="44" t="s">
        <v>603</v>
      </c>
      <c r="AA148" s="10"/>
      <c r="AB148" s="10" t="s">
        <v>684</v>
      </c>
      <c r="AC148" s="32" t="s">
        <v>102</v>
      </c>
      <c r="AF148" s="10" t="s">
        <v>77</v>
      </c>
      <c r="AL148" s="24">
        <v>0.54166666666666663</v>
      </c>
      <c r="AM148" s="24">
        <v>0.91666666666666663</v>
      </c>
      <c r="AQ148" s="38">
        <v>0.33333333333333331</v>
      </c>
    </row>
    <row r="149" spans="1:43" ht="14.25" customHeight="1">
      <c r="A149">
        <v>426</v>
      </c>
      <c r="B149" s="1">
        <v>10691713</v>
      </c>
      <c r="C149" s="1" t="s">
        <v>627</v>
      </c>
      <c r="D149" s="1" t="s">
        <v>726</v>
      </c>
      <c r="E149" s="1" t="s">
        <v>631</v>
      </c>
      <c r="F149" s="1" t="str">
        <f>D149&amp;" "&amp;E149</f>
        <v>SU MYAT THIN -</v>
      </c>
      <c r="G149" s="1" t="s">
        <v>726</v>
      </c>
      <c r="H149" s="1" t="s">
        <v>631</v>
      </c>
      <c r="I149" s="1">
        <v>10691713</v>
      </c>
      <c r="J149" s="1" t="s">
        <v>45</v>
      </c>
      <c r="K149" s="2">
        <v>46026</v>
      </c>
      <c r="L149" s="1" t="s">
        <v>66</v>
      </c>
      <c r="M149" s="1" t="s">
        <v>48</v>
      </c>
      <c r="N149" s="1" t="s">
        <v>98</v>
      </c>
      <c r="O149" s="1" t="s">
        <v>466</v>
      </c>
      <c r="P149" s="1" t="s">
        <v>100</v>
      </c>
      <c r="Q149" s="1">
        <v>10358499</v>
      </c>
      <c r="R149" s="1" t="s">
        <v>689</v>
      </c>
      <c r="S149" s="3" t="s">
        <v>603</v>
      </c>
      <c r="T149" s="1" t="s">
        <v>52</v>
      </c>
      <c r="U149" s="1" t="s">
        <v>53</v>
      </c>
      <c r="V149" s="1" t="s">
        <v>54</v>
      </c>
      <c r="W149" s="1" t="s">
        <v>632</v>
      </c>
      <c r="X149" s="1">
        <v>1</v>
      </c>
      <c r="Y149" s="10" t="s">
        <v>604</v>
      </c>
      <c r="Z149" s="10"/>
      <c r="AA149" s="10"/>
      <c r="AB149" s="10" t="s">
        <v>684</v>
      </c>
      <c r="AC149" s="32" t="s">
        <v>102</v>
      </c>
      <c r="AD149" s="10"/>
      <c r="AE149" s="10"/>
      <c r="AF149" s="10" t="s">
        <v>77</v>
      </c>
      <c r="AG149" s="10"/>
      <c r="AH149" s="10"/>
      <c r="AL149" s="24">
        <v>0.54166666666666663</v>
      </c>
      <c r="AM149" s="24">
        <v>0.91666666666666663</v>
      </c>
    </row>
    <row r="150" spans="1:43" ht="14.25" customHeight="1">
      <c r="A150">
        <v>425</v>
      </c>
      <c r="B150" s="1">
        <v>10691710</v>
      </c>
      <c r="C150" s="1" t="s">
        <v>627</v>
      </c>
      <c r="D150" s="1" t="s">
        <v>727</v>
      </c>
      <c r="E150" s="1" t="s">
        <v>631</v>
      </c>
      <c r="F150" s="1" t="str">
        <f>D150&amp;" "&amp;E150</f>
        <v>SHELL SHELL MHAYIE -</v>
      </c>
      <c r="G150" s="1" t="s">
        <v>727</v>
      </c>
      <c r="H150" s="1" t="s">
        <v>631</v>
      </c>
      <c r="I150" s="1">
        <v>10691710</v>
      </c>
      <c r="J150" s="1" t="s">
        <v>45</v>
      </c>
      <c r="K150" s="2">
        <v>46026</v>
      </c>
      <c r="L150" s="1" t="s">
        <v>66</v>
      </c>
      <c r="M150" s="1" t="s">
        <v>48</v>
      </c>
      <c r="N150" s="1" t="s">
        <v>98</v>
      </c>
      <c r="O150" s="1" t="s">
        <v>466</v>
      </c>
      <c r="P150" s="1" t="s">
        <v>100</v>
      </c>
      <c r="Q150" s="1">
        <v>10358499</v>
      </c>
      <c r="R150" s="1" t="s">
        <v>689</v>
      </c>
      <c r="S150" s="3" t="s">
        <v>603</v>
      </c>
      <c r="T150" s="1" t="s">
        <v>52</v>
      </c>
      <c r="U150" s="1" t="s">
        <v>53</v>
      </c>
      <c r="V150" s="1" t="s">
        <v>54</v>
      </c>
      <c r="W150" s="1" t="s">
        <v>632</v>
      </c>
      <c r="X150" s="1">
        <v>1</v>
      </c>
      <c r="Y150" s="10" t="s">
        <v>604</v>
      </c>
      <c r="Z150" s="10"/>
      <c r="AA150" s="10"/>
      <c r="AB150" s="10" t="s">
        <v>684</v>
      </c>
      <c r="AC150" s="32" t="s">
        <v>102</v>
      </c>
      <c r="AD150" s="10"/>
      <c r="AE150" s="10"/>
      <c r="AF150" s="10" t="s">
        <v>77</v>
      </c>
      <c r="AG150" s="10"/>
      <c r="AH150" s="10"/>
      <c r="AL150" s="24">
        <v>0.54166666666666663</v>
      </c>
      <c r="AM150" s="24">
        <v>0.91666666666666663</v>
      </c>
    </row>
    <row r="151" spans="1:43" ht="14.25" customHeight="1">
      <c r="A151">
        <v>37</v>
      </c>
      <c r="B151" s="1">
        <v>10363527</v>
      </c>
      <c r="C151" s="1" t="s">
        <v>39</v>
      </c>
      <c r="D151" s="1" t="s">
        <v>40</v>
      </c>
      <c r="E151" s="1" t="s">
        <v>728</v>
      </c>
      <c r="F151" s="1" t="str">
        <f>D151&amp;" "&amp;E151</f>
        <v>สุดารัตน์ เหมาะดี</v>
      </c>
      <c r="G151" s="1" t="s">
        <v>42</v>
      </c>
      <c r="H151" s="1" t="s">
        <v>729</v>
      </c>
      <c r="I151" s="1" t="s">
        <v>730</v>
      </c>
      <c r="J151" s="1" t="s">
        <v>45</v>
      </c>
      <c r="K151" s="2">
        <v>43468</v>
      </c>
      <c r="L151" s="1" t="s">
        <v>47</v>
      </c>
      <c r="M151" s="1" t="s">
        <v>48</v>
      </c>
      <c r="N151" s="1" t="s">
        <v>48</v>
      </c>
      <c r="O151" s="1" t="s">
        <v>731</v>
      </c>
      <c r="P151" s="1" t="s">
        <v>731</v>
      </c>
      <c r="Q151" s="1">
        <v>10405216</v>
      </c>
      <c r="R151" s="1" t="s">
        <v>732</v>
      </c>
      <c r="S151" s="3" t="s">
        <v>603</v>
      </c>
      <c r="T151" s="1" t="s">
        <v>52</v>
      </c>
      <c r="U151" s="1" t="s">
        <v>53</v>
      </c>
      <c r="V151" s="1" t="s">
        <v>54</v>
      </c>
      <c r="W151" s="1" t="s">
        <v>55</v>
      </c>
      <c r="X151" s="1">
        <v>1</v>
      </c>
      <c r="Y151" s="10" t="s">
        <v>604</v>
      </c>
      <c r="Z151" s="10"/>
      <c r="AA151" s="10"/>
      <c r="AB151" s="10" t="s">
        <v>733</v>
      </c>
      <c r="AC151" s="32" t="s">
        <v>102</v>
      </c>
      <c r="AD151" s="10"/>
      <c r="AE151" s="10"/>
      <c r="AF151" s="10" t="s">
        <v>59</v>
      </c>
      <c r="AG151" s="10"/>
      <c r="AH151" s="10"/>
    </row>
    <row r="152" spans="1:43" ht="14.25" customHeight="1">
      <c r="A152">
        <v>160</v>
      </c>
      <c r="B152" s="1">
        <v>10576552</v>
      </c>
      <c r="C152" s="1" t="s">
        <v>39</v>
      </c>
      <c r="D152" s="1" t="s">
        <v>734</v>
      </c>
      <c r="E152" s="1" t="s">
        <v>735</v>
      </c>
      <c r="F152" s="1" t="str">
        <f>D152&amp;" "&amp;E152</f>
        <v>ศุภาวรรณ เกิดลาภ</v>
      </c>
      <c r="G152" s="1" t="s">
        <v>736</v>
      </c>
      <c r="H152" s="1" t="s">
        <v>737</v>
      </c>
      <c r="I152" s="1">
        <v>10576552</v>
      </c>
      <c r="J152" s="1" t="s">
        <v>45</v>
      </c>
      <c r="K152" s="1" t="s">
        <v>738</v>
      </c>
      <c r="L152" s="1" t="s">
        <v>66</v>
      </c>
      <c r="M152" s="1" t="s">
        <v>48</v>
      </c>
      <c r="N152" s="1" t="s">
        <v>48</v>
      </c>
      <c r="O152" s="1" t="s">
        <v>739</v>
      </c>
      <c r="P152" s="1" t="s">
        <v>739</v>
      </c>
      <c r="Q152" s="1">
        <v>10405183</v>
      </c>
      <c r="R152" s="1" t="s">
        <v>740</v>
      </c>
      <c r="S152" s="3" t="s">
        <v>603</v>
      </c>
      <c r="T152" s="1" t="s">
        <v>52</v>
      </c>
      <c r="U152" s="1" t="s">
        <v>53</v>
      </c>
      <c r="V152" s="1" t="s">
        <v>54</v>
      </c>
      <c r="W152" s="1" t="s">
        <v>55</v>
      </c>
      <c r="X152" s="1">
        <v>1</v>
      </c>
      <c r="Y152" s="10" t="s">
        <v>604</v>
      </c>
      <c r="Z152" s="10"/>
      <c r="AA152" s="10"/>
      <c r="AB152" s="10" t="s">
        <v>733</v>
      </c>
      <c r="AC152" s="32"/>
      <c r="AD152" s="10"/>
      <c r="AE152" s="10"/>
      <c r="AF152" s="10" t="s">
        <v>77</v>
      </c>
      <c r="AG152" s="10"/>
      <c r="AH152" s="10"/>
    </row>
    <row r="153" spans="1:43" ht="14.25" customHeight="1">
      <c r="A153">
        <v>199</v>
      </c>
      <c r="B153" s="1">
        <v>10627566</v>
      </c>
      <c r="C153" s="1" t="s">
        <v>415</v>
      </c>
      <c r="D153" s="1" t="s">
        <v>741</v>
      </c>
      <c r="E153" s="1" t="s">
        <v>742</v>
      </c>
      <c r="F153" s="1" t="str">
        <f>D153&amp;" "&amp;E153</f>
        <v>SAMNANG LOUCH</v>
      </c>
      <c r="G153" s="1" t="s">
        <v>741</v>
      </c>
      <c r="H153" s="1" t="s">
        <v>742</v>
      </c>
      <c r="I153" s="1">
        <v>10627566</v>
      </c>
      <c r="J153" s="1" t="s">
        <v>45</v>
      </c>
      <c r="K153" s="1" t="s">
        <v>743</v>
      </c>
      <c r="L153" s="1" t="s">
        <v>66</v>
      </c>
      <c r="M153" s="1" t="s">
        <v>48</v>
      </c>
      <c r="N153" s="1" t="s">
        <v>48</v>
      </c>
      <c r="O153" s="1" t="s">
        <v>744</v>
      </c>
      <c r="P153" s="1" t="s">
        <v>744</v>
      </c>
      <c r="Q153" s="1">
        <v>10295177</v>
      </c>
      <c r="R153" s="1" t="s">
        <v>602</v>
      </c>
      <c r="S153" s="3" t="s">
        <v>603</v>
      </c>
      <c r="T153" s="1" t="s">
        <v>52</v>
      </c>
      <c r="U153" s="1" t="s">
        <v>53</v>
      </c>
      <c r="V153" s="1" t="s">
        <v>54</v>
      </c>
      <c r="W153" s="1" t="s">
        <v>418</v>
      </c>
      <c r="X153" s="1">
        <v>1</v>
      </c>
      <c r="Y153" s="10" t="s">
        <v>604</v>
      </c>
      <c r="Z153" s="10"/>
      <c r="AA153" s="10"/>
      <c r="AB153" s="10" t="s">
        <v>745</v>
      </c>
      <c r="AC153" s="32" t="s">
        <v>102</v>
      </c>
      <c r="AD153" s="10"/>
      <c r="AE153" s="10"/>
      <c r="AF153" s="10" t="s">
        <v>77</v>
      </c>
      <c r="AG153" s="10"/>
      <c r="AH153" s="10"/>
      <c r="AL153" s="24">
        <v>0.66666666666666663</v>
      </c>
      <c r="AM153" s="24">
        <v>4.1666666666666664E-2</v>
      </c>
    </row>
    <row r="154" spans="1:43" ht="14.25" customHeight="1">
      <c r="A154">
        <v>410</v>
      </c>
      <c r="B154" s="1">
        <v>10691399</v>
      </c>
      <c r="C154" s="1" t="s">
        <v>39</v>
      </c>
      <c r="D154" s="1" t="s">
        <v>746</v>
      </c>
      <c r="E154" s="1" t="s">
        <v>747</v>
      </c>
      <c r="F154" s="1" t="str">
        <f>D154&amp;" "&amp;E154</f>
        <v>อรพรรณ แหวนครุฑ</v>
      </c>
      <c r="G154" s="1" t="s">
        <v>748</v>
      </c>
      <c r="H154" s="1" t="s">
        <v>749</v>
      </c>
      <c r="I154" s="1">
        <v>10691399</v>
      </c>
      <c r="J154" s="1" t="s">
        <v>45</v>
      </c>
      <c r="K154" s="2">
        <v>46026</v>
      </c>
      <c r="L154" s="1" t="s">
        <v>66</v>
      </c>
      <c r="M154" s="1" t="s">
        <v>48</v>
      </c>
      <c r="N154" s="1" t="s">
        <v>98</v>
      </c>
      <c r="O154" s="1" t="s">
        <v>466</v>
      </c>
      <c r="P154" s="1" t="s">
        <v>100</v>
      </c>
      <c r="Q154" s="1">
        <v>10358499</v>
      </c>
      <c r="R154" s="1" t="s">
        <v>689</v>
      </c>
      <c r="S154" s="3" t="s">
        <v>603</v>
      </c>
      <c r="T154" s="1" t="s">
        <v>52</v>
      </c>
      <c r="U154" s="1" t="s">
        <v>53</v>
      </c>
      <c r="V154" s="1" t="s">
        <v>54</v>
      </c>
      <c r="W154" s="1" t="s">
        <v>55</v>
      </c>
      <c r="X154" s="1">
        <v>1</v>
      </c>
      <c r="Y154" s="10" t="s">
        <v>604</v>
      </c>
      <c r="Z154" s="10"/>
      <c r="AA154" s="10"/>
      <c r="AB154" s="10"/>
      <c r="AC154" s="32"/>
      <c r="AD154" s="10"/>
      <c r="AE154" s="10"/>
      <c r="AF154" s="10"/>
      <c r="AG154" s="10"/>
      <c r="AH154" s="10"/>
    </row>
    <row r="155" spans="1:43" ht="14.25" customHeight="1">
      <c r="A155">
        <v>70</v>
      </c>
      <c r="B155" s="1">
        <v>10416383</v>
      </c>
      <c r="C155" s="1" t="s">
        <v>39</v>
      </c>
      <c r="D155" s="1" t="s">
        <v>750</v>
      </c>
      <c r="E155" s="1" t="s">
        <v>751</v>
      </c>
      <c r="F155" s="1" t="str">
        <f>D155&amp;" "&amp;E155</f>
        <v>อภัตรนิภา เบ็ญจวรรณ</v>
      </c>
      <c r="G155" s="1" t="s">
        <v>752</v>
      </c>
      <c r="H155" s="1" t="s">
        <v>753</v>
      </c>
      <c r="I155" s="1">
        <v>10416383</v>
      </c>
      <c r="J155" s="1" t="s">
        <v>45</v>
      </c>
      <c r="K155" s="2">
        <v>44287</v>
      </c>
      <c r="L155" s="1" t="s">
        <v>66</v>
      </c>
      <c r="M155" s="1" t="s">
        <v>48</v>
      </c>
      <c r="N155" s="1" t="s">
        <v>48</v>
      </c>
      <c r="O155" s="2">
        <v>44260</v>
      </c>
      <c r="P155" s="2">
        <v>44260</v>
      </c>
      <c r="Q155" s="1">
        <v>10295177</v>
      </c>
      <c r="R155" s="1" t="s">
        <v>602</v>
      </c>
      <c r="S155" s="3" t="s">
        <v>603</v>
      </c>
      <c r="T155" s="1" t="s">
        <v>52</v>
      </c>
      <c r="U155" s="1" t="s">
        <v>53</v>
      </c>
      <c r="V155" s="1" t="s">
        <v>54</v>
      </c>
      <c r="W155" s="1" t="s">
        <v>55</v>
      </c>
      <c r="X155" s="1">
        <v>1</v>
      </c>
      <c r="Y155" s="10" t="s">
        <v>604</v>
      </c>
      <c r="Z155" s="10"/>
      <c r="AA155" s="10"/>
      <c r="AB155" s="10"/>
      <c r="AC155" s="32"/>
      <c r="AD155" s="10"/>
      <c r="AE155" s="10"/>
      <c r="AF155" s="10"/>
      <c r="AG155" s="10"/>
      <c r="AH155" s="10"/>
    </row>
    <row r="156" spans="1:43" ht="14.25" customHeight="1">
      <c r="A156">
        <v>350</v>
      </c>
      <c r="B156" s="1">
        <v>10680173</v>
      </c>
      <c r="C156" s="1" t="s">
        <v>39</v>
      </c>
      <c r="D156" s="1" t="s">
        <v>754</v>
      </c>
      <c r="E156" s="1" t="s">
        <v>755</v>
      </c>
      <c r="F156" s="1" t="str">
        <f>D156&amp;" "&amp;E156</f>
        <v>ธิติมา เฉลิมวัฒน์</v>
      </c>
      <c r="G156" s="1" t="s">
        <v>756</v>
      </c>
      <c r="H156" s="1" t="s">
        <v>757</v>
      </c>
      <c r="I156" s="1">
        <v>10680173</v>
      </c>
      <c r="J156" s="1" t="s">
        <v>45</v>
      </c>
      <c r="K156" s="1" t="s">
        <v>97</v>
      </c>
      <c r="L156" s="1" t="s">
        <v>66</v>
      </c>
      <c r="M156" s="1" t="s">
        <v>48</v>
      </c>
      <c r="N156" s="1" t="s">
        <v>98</v>
      </c>
      <c r="O156" s="1" t="s">
        <v>99</v>
      </c>
      <c r="P156" s="1" t="s">
        <v>100</v>
      </c>
      <c r="Q156" s="1">
        <v>10295177</v>
      </c>
      <c r="R156" s="1" t="s">
        <v>602</v>
      </c>
      <c r="S156" s="3" t="s">
        <v>603</v>
      </c>
      <c r="T156" s="1" t="s">
        <v>52</v>
      </c>
      <c r="U156" s="1" t="s">
        <v>53</v>
      </c>
      <c r="V156" s="1" t="s">
        <v>54</v>
      </c>
      <c r="W156" s="1" t="s">
        <v>55</v>
      </c>
      <c r="X156" s="1">
        <v>1</v>
      </c>
      <c r="Y156" s="10" t="s">
        <v>604</v>
      </c>
      <c r="Z156" s="10"/>
      <c r="AA156" s="10"/>
      <c r="AB156" s="10"/>
      <c r="AC156" s="32"/>
      <c r="AD156" s="10"/>
      <c r="AE156" s="10"/>
      <c r="AF156" s="10"/>
      <c r="AG156" s="10"/>
      <c r="AH156" s="10"/>
    </row>
    <row r="157" spans="1:43" ht="14.25" customHeight="1">
      <c r="A157">
        <v>389</v>
      </c>
      <c r="B157" s="1">
        <v>10688306</v>
      </c>
      <c r="C157" s="1" t="s">
        <v>39</v>
      </c>
      <c r="D157" s="1" t="s">
        <v>758</v>
      </c>
      <c r="E157" s="1" t="s">
        <v>759</v>
      </c>
      <c r="F157" s="1" t="str">
        <f>D157&amp;" "&amp;E157</f>
        <v>ธัญญรัตน์ ไกรยเดช</v>
      </c>
      <c r="G157" s="1" t="s">
        <v>760</v>
      </c>
      <c r="H157" s="1" t="s">
        <v>761</v>
      </c>
      <c r="I157" s="1">
        <v>10688306</v>
      </c>
      <c r="J157" s="1" t="s">
        <v>45</v>
      </c>
      <c r="K157" s="1" t="s">
        <v>471</v>
      </c>
      <c r="L157" s="1" t="s">
        <v>66</v>
      </c>
      <c r="M157" s="1" t="s">
        <v>48</v>
      </c>
      <c r="N157" s="1" t="s">
        <v>98</v>
      </c>
      <c r="O157" s="1" t="s">
        <v>472</v>
      </c>
      <c r="P157" s="1" t="s">
        <v>100</v>
      </c>
      <c r="Q157" s="1">
        <v>10358499</v>
      </c>
      <c r="R157" s="1" t="s">
        <v>689</v>
      </c>
      <c r="S157" s="3" t="s">
        <v>603</v>
      </c>
      <c r="T157" s="1" t="s">
        <v>52</v>
      </c>
      <c r="U157" s="1" t="s">
        <v>53</v>
      </c>
      <c r="V157" s="1" t="s">
        <v>54</v>
      </c>
      <c r="W157" s="1" t="s">
        <v>55</v>
      </c>
      <c r="X157" s="1">
        <v>1</v>
      </c>
      <c r="Y157" s="10" t="s">
        <v>604</v>
      </c>
      <c r="Z157" s="10"/>
      <c r="AA157" s="10"/>
      <c r="AB157" s="10"/>
      <c r="AC157" s="32"/>
      <c r="AD157" s="10"/>
      <c r="AE157" s="10"/>
      <c r="AF157" s="10"/>
      <c r="AG157" s="10"/>
      <c r="AH157" s="10"/>
    </row>
    <row r="158" spans="1:43" ht="14.25" customHeight="1">
      <c r="A158">
        <v>137</v>
      </c>
      <c r="B158" s="1">
        <v>10550758</v>
      </c>
      <c r="C158" s="1" t="s">
        <v>762</v>
      </c>
      <c r="D158" s="1" t="s">
        <v>763</v>
      </c>
      <c r="E158" s="1" t="s">
        <v>764</v>
      </c>
      <c r="F158" s="1" t="str">
        <f>D158&amp;" "&amp;E158</f>
        <v>SREYTHOUCH BIT</v>
      </c>
      <c r="G158" s="1" t="s">
        <v>763</v>
      </c>
      <c r="H158" s="1" t="s">
        <v>764</v>
      </c>
      <c r="I158" s="1">
        <v>10550758</v>
      </c>
      <c r="J158" s="1" t="s">
        <v>45</v>
      </c>
      <c r="K158" s="2">
        <v>45264</v>
      </c>
      <c r="L158" s="1" t="s">
        <v>66</v>
      </c>
      <c r="M158" s="1" t="s">
        <v>48</v>
      </c>
      <c r="N158" s="1" t="s">
        <v>48</v>
      </c>
      <c r="O158" s="2">
        <v>45177</v>
      </c>
      <c r="P158" s="2">
        <v>45177</v>
      </c>
      <c r="Q158" s="1">
        <v>10358499</v>
      </c>
      <c r="R158" s="1" t="s">
        <v>689</v>
      </c>
      <c r="S158" s="3" t="s">
        <v>603</v>
      </c>
      <c r="T158" s="1" t="s">
        <v>52</v>
      </c>
      <c r="U158" s="1" t="s">
        <v>53</v>
      </c>
      <c r="V158" s="1" t="s">
        <v>54</v>
      </c>
      <c r="W158" s="1" t="s">
        <v>418</v>
      </c>
      <c r="X158" s="1">
        <v>1</v>
      </c>
      <c r="Y158" s="10" t="s">
        <v>604</v>
      </c>
      <c r="Z158" s="10"/>
      <c r="AA158" s="10"/>
      <c r="AB158" s="10"/>
      <c r="AC158" s="32"/>
      <c r="AD158" s="10"/>
      <c r="AE158" s="10"/>
      <c r="AF158" s="10"/>
      <c r="AG158" s="10"/>
      <c r="AH158" s="10"/>
    </row>
    <row r="159" spans="1:43" ht="14.25" customHeight="1">
      <c r="A159">
        <v>145</v>
      </c>
      <c r="B159" s="1">
        <v>10560642</v>
      </c>
      <c r="C159" s="1" t="s">
        <v>762</v>
      </c>
      <c r="D159" s="1" t="s">
        <v>416</v>
      </c>
      <c r="E159" s="1" t="s">
        <v>672</v>
      </c>
      <c r="F159" s="1" t="str">
        <f>D159&amp;" "&amp;E159</f>
        <v>CHANTHA KUNG</v>
      </c>
      <c r="G159" s="1" t="s">
        <v>416</v>
      </c>
      <c r="H159" s="1" t="s">
        <v>672</v>
      </c>
      <c r="I159" s="1">
        <v>10560642</v>
      </c>
      <c r="J159" s="1" t="s">
        <v>45</v>
      </c>
      <c r="K159" s="1" t="s">
        <v>765</v>
      </c>
      <c r="L159" s="1" t="s">
        <v>66</v>
      </c>
      <c r="M159" s="1" t="s">
        <v>48</v>
      </c>
      <c r="N159" s="1" t="s">
        <v>48</v>
      </c>
      <c r="O159" s="1" t="s">
        <v>766</v>
      </c>
      <c r="P159" s="1" t="s">
        <v>766</v>
      </c>
      <c r="Q159" s="1">
        <v>10358499</v>
      </c>
      <c r="R159" s="1" t="s">
        <v>689</v>
      </c>
      <c r="S159" s="3" t="s">
        <v>603</v>
      </c>
      <c r="T159" s="1" t="s">
        <v>52</v>
      </c>
      <c r="U159" s="1" t="s">
        <v>53</v>
      </c>
      <c r="V159" s="1" t="s">
        <v>54</v>
      </c>
      <c r="W159" s="1" t="s">
        <v>418</v>
      </c>
      <c r="X159" s="1">
        <v>1</v>
      </c>
      <c r="Y159" s="10" t="s">
        <v>604</v>
      </c>
      <c r="Z159" s="10"/>
      <c r="AA159" s="10"/>
      <c r="AB159" s="10"/>
      <c r="AC159" s="32"/>
      <c r="AD159" s="10"/>
      <c r="AE159" s="10"/>
      <c r="AF159" s="10"/>
      <c r="AG159" s="10"/>
      <c r="AH159" s="10"/>
    </row>
    <row r="160" spans="1:43" ht="14.25" customHeight="1">
      <c r="A160">
        <v>102</v>
      </c>
      <c r="B160" s="1">
        <v>10510250</v>
      </c>
      <c r="C160" s="1" t="s">
        <v>39</v>
      </c>
      <c r="D160" s="1" t="s">
        <v>746</v>
      </c>
      <c r="E160" s="1" t="s">
        <v>767</v>
      </c>
      <c r="F160" s="1" t="str">
        <f>D160&amp;" "&amp;E160</f>
        <v>อรพรรณ คงมี</v>
      </c>
      <c r="G160" s="1" t="s">
        <v>768</v>
      </c>
      <c r="H160" s="1" t="s">
        <v>769</v>
      </c>
      <c r="I160" s="1">
        <v>10510250</v>
      </c>
      <c r="J160" s="1" t="s">
        <v>45</v>
      </c>
      <c r="K160" s="2">
        <v>44623</v>
      </c>
      <c r="L160" s="1" t="s">
        <v>66</v>
      </c>
      <c r="M160" s="1" t="s">
        <v>48</v>
      </c>
      <c r="N160" s="1" t="s">
        <v>48</v>
      </c>
      <c r="O160" s="1" t="s">
        <v>770</v>
      </c>
      <c r="P160" s="1" t="s">
        <v>770</v>
      </c>
      <c r="Q160" s="1">
        <v>10327016</v>
      </c>
      <c r="R160" s="1" t="s">
        <v>771</v>
      </c>
      <c r="S160" s="3" t="s">
        <v>772</v>
      </c>
      <c r="T160" s="1" t="s">
        <v>52</v>
      </c>
      <c r="U160" s="1" t="s">
        <v>53</v>
      </c>
      <c r="V160" s="1" t="s">
        <v>54</v>
      </c>
      <c r="W160" s="1" t="s">
        <v>55</v>
      </c>
      <c r="X160" s="1">
        <v>1</v>
      </c>
      <c r="AA160" s="10"/>
      <c r="AB160" t="s">
        <v>773</v>
      </c>
      <c r="AF160" s="10" t="s">
        <v>59</v>
      </c>
      <c r="AI160" s="24">
        <v>0.33333333333333331</v>
      </c>
      <c r="AJ160" s="24">
        <v>0.70833333333333337</v>
      </c>
    </row>
    <row r="161" spans="1:39" ht="14.25" customHeight="1">
      <c r="A161">
        <v>103</v>
      </c>
      <c r="B161" s="1">
        <v>10510505</v>
      </c>
      <c r="C161" s="1" t="s">
        <v>39</v>
      </c>
      <c r="D161" s="1" t="s">
        <v>774</v>
      </c>
      <c r="E161" s="1" t="s">
        <v>775</v>
      </c>
      <c r="F161" s="1" t="str">
        <f>D161&amp;" "&amp;E161</f>
        <v>อภิษฎา โสภา</v>
      </c>
      <c r="G161" s="1" t="s">
        <v>776</v>
      </c>
      <c r="H161" s="1" t="s">
        <v>777</v>
      </c>
      <c r="I161" s="1">
        <v>10510505</v>
      </c>
      <c r="J161" s="1" t="s">
        <v>45</v>
      </c>
      <c r="K161" s="2">
        <v>44776</v>
      </c>
      <c r="L161" s="1" t="s">
        <v>66</v>
      </c>
      <c r="M161" s="1" t="s">
        <v>48</v>
      </c>
      <c r="N161" s="1" t="s">
        <v>48</v>
      </c>
      <c r="O161" s="2">
        <v>44688</v>
      </c>
      <c r="P161" s="2">
        <v>44688</v>
      </c>
      <c r="Q161" s="1">
        <v>10327016</v>
      </c>
      <c r="R161" s="1" t="s">
        <v>771</v>
      </c>
      <c r="S161" s="3" t="s">
        <v>772</v>
      </c>
      <c r="T161" s="1" t="s">
        <v>52</v>
      </c>
      <c r="U161" s="1" t="s">
        <v>53</v>
      </c>
      <c r="V161" s="1" t="s">
        <v>54</v>
      </c>
      <c r="W161" s="1" t="s">
        <v>55</v>
      </c>
      <c r="X161" s="1">
        <v>1</v>
      </c>
      <c r="AA161" s="10"/>
      <c r="AB161" t="s">
        <v>773</v>
      </c>
      <c r="AF161" s="10" t="s">
        <v>59</v>
      </c>
      <c r="AI161" s="24">
        <v>0.33333333333333331</v>
      </c>
      <c r="AJ161" s="24">
        <v>0.70833333333333337</v>
      </c>
    </row>
    <row r="162" spans="1:39" ht="14.25" customHeight="1">
      <c r="A162">
        <v>109</v>
      </c>
      <c r="B162" s="1">
        <v>10514235</v>
      </c>
      <c r="C162" s="1" t="s">
        <v>92</v>
      </c>
      <c r="D162" s="1" t="s">
        <v>778</v>
      </c>
      <c r="E162" s="1" t="s">
        <v>779</v>
      </c>
      <c r="F162" s="1" t="str">
        <f>D162&amp;" "&amp;E162</f>
        <v>เสกสรร ทิพย์ศรี</v>
      </c>
      <c r="G162" s="1" t="s">
        <v>780</v>
      </c>
      <c r="H162" s="1" t="s">
        <v>781</v>
      </c>
      <c r="I162" s="1">
        <v>10514235</v>
      </c>
      <c r="J162" s="1" t="s">
        <v>45</v>
      </c>
      <c r="K162" s="2">
        <v>44899</v>
      </c>
      <c r="L162" s="1" t="s">
        <v>66</v>
      </c>
      <c r="M162" s="1" t="s">
        <v>48</v>
      </c>
      <c r="N162" s="1" t="s">
        <v>48</v>
      </c>
      <c r="O162" s="2">
        <v>44812</v>
      </c>
      <c r="P162" s="2">
        <v>44812</v>
      </c>
      <c r="Q162" s="1">
        <v>10327016</v>
      </c>
      <c r="R162" s="1" t="s">
        <v>771</v>
      </c>
      <c r="S162" s="3" t="s">
        <v>772</v>
      </c>
      <c r="T162" s="1" t="s">
        <v>52</v>
      </c>
      <c r="U162" s="1" t="s">
        <v>53</v>
      </c>
      <c r="V162" s="1" t="s">
        <v>54</v>
      </c>
      <c r="W162" s="1" t="s">
        <v>55</v>
      </c>
      <c r="X162" s="1">
        <v>1</v>
      </c>
      <c r="AA162" s="10"/>
      <c r="AB162" t="s">
        <v>773</v>
      </c>
      <c r="AF162" s="10" t="s">
        <v>59</v>
      </c>
      <c r="AI162" s="24">
        <v>0.33333333333333331</v>
      </c>
      <c r="AJ162" s="24">
        <v>0.70833333333333337</v>
      </c>
    </row>
    <row r="163" spans="1:39" ht="14.25" customHeight="1">
      <c r="A163">
        <v>108</v>
      </c>
      <c r="B163" s="1">
        <v>10514069</v>
      </c>
      <c r="C163" s="1" t="s">
        <v>39</v>
      </c>
      <c r="D163" s="1" t="s">
        <v>782</v>
      </c>
      <c r="E163" s="1" t="s">
        <v>783</v>
      </c>
      <c r="F163" s="1" t="str">
        <f>D163&amp;" "&amp;E163</f>
        <v>ณัฐวศา ทองมาลา</v>
      </c>
      <c r="G163" s="1" t="s">
        <v>784</v>
      </c>
      <c r="H163" s="1" t="s">
        <v>785</v>
      </c>
      <c r="I163" s="1">
        <v>10514069</v>
      </c>
      <c r="J163" s="1" t="s">
        <v>45</v>
      </c>
      <c r="K163" s="2">
        <v>44808</v>
      </c>
      <c r="L163" s="1" t="s">
        <v>66</v>
      </c>
      <c r="M163" s="1" t="s">
        <v>48</v>
      </c>
      <c r="N163" s="1" t="s">
        <v>48</v>
      </c>
      <c r="O163" s="2">
        <v>44720</v>
      </c>
      <c r="P163" s="2">
        <v>44720</v>
      </c>
      <c r="Q163" s="1">
        <v>10327016</v>
      </c>
      <c r="R163" s="1" t="s">
        <v>771</v>
      </c>
      <c r="S163" s="3" t="s">
        <v>772</v>
      </c>
      <c r="T163" s="1" t="s">
        <v>52</v>
      </c>
      <c r="U163" s="1" t="s">
        <v>53</v>
      </c>
      <c r="V163" s="1" t="s">
        <v>54</v>
      </c>
      <c r="W163" s="1" t="s">
        <v>55</v>
      </c>
      <c r="X163" s="1">
        <v>1</v>
      </c>
      <c r="AA163" s="10"/>
      <c r="AB163" t="s">
        <v>773</v>
      </c>
      <c r="AF163" s="10" t="s">
        <v>59</v>
      </c>
      <c r="AI163" s="24">
        <v>0.33333333333333331</v>
      </c>
      <c r="AJ163" s="24">
        <v>0.70833333333333337</v>
      </c>
    </row>
    <row r="164" spans="1:39" ht="14.25" customHeight="1">
      <c r="A164">
        <v>9</v>
      </c>
      <c r="B164" s="1">
        <v>10286270</v>
      </c>
      <c r="C164" s="1" t="s">
        <v>39</v>
      </c>
      <c r="D164" s="1" t="s">
        <v>786</v>
      </c>
      <c r="E164" s="1" t="s">
        <v>787</v>
      </c>
      <c r="F164" s="1" t="str">
        <f>D164&amp;" "&amp;E164</f>
        <v>กิ่งกมล มีศรี</v>
      </c>
      <c r="G164" s="1" t="s">
        <v>788</v>
      </c>
      <c r="H164" s="1" t="s">
        <v>789</v>
      </c>
      <c r="I164" s="1" t="s">
        <v>790</v>
      </c>
      <c r="J164" s="1" t="s">
        <v>45</v>
      </c>
      <c r="K164" s="2">
        <v>42438</v>
      </c>
      <c r="L164" s="1" t="s">
        <v>47</v>
      </c>
      <c r="M164" s="1" t="s">
        <v>48</v>
      </c>
      <c r="N164" s="1" t="s">
        <v>48</v>
      </c>
      <c r="O164" s="1" t="s">
        <v>791</v>
      </c>
      <c r="P164" s="1" t="s">
        <v>791</v>
      </c>
      <c r="Q164" s="1">
        <v>10392747</v>
      </c>
      <c r="R164" s="1" t="s">
        <v>792</v>
      </c>
      <c r="S164" s="44" t="s">
        <v>772</v>
      </c>
      <c r="T164" s="1" t="s">
        <v>52</v>
      </c>
      <c r="U164" s="1" t="s">
        <v>53</v>
      </c>
      <c r="V164" s="1" t="s">
        <v>54</v>
      </c>
      <c r="W164" s="1" t="s">
        <v>55</v>
      </c>
      <c r="X164" s="1">
        <v>1</v>
      </c>
      <c r="AA164" s="10"/>
      <c r="AB164" t="s">
        <v>773</v>
      </c>
      <c r="AF164" s="10" t="s">
        <v>59</v>
      </c>
      <c r="AI164" s="24">
        <v>0.33333333333333331</v>
      </c>
      <c r="AJ164" s="24">
        <v>0.70833333333333337</v>
      </c>
    </row>
    <row r="165" spans="1:39" ht="14.25" customHeight="1">
      <c r="A165">
        <v>150</v>
      </c>
      <c r="B165" s="1">
        <v>10569580</v>
      </c>
      <c r="C165" s="1" t="s">
        <v>39</v>
      </c>
      <c r="D165" s="1" t="s">
        <v>793</v>
      </c>
      <c r="E165" s="1" t="s">
        <v>794</v>
      </c>
      <c r="F165" s="1" t="str">
        <f>D165&amp;" "&amp;E165</f>
        <v>อรพิมพ์ เสมาทอง</v>
      </c>
      <c r="G165" s="1" t="s">
        <v>795</v>
      </c>
      <c r="H165" s="1" t="s">
        <v>796</v>
      </c>
      <c r="I165" s="1">
        <v>10569580</v>
      </c>
      <c r="J165" s="1" t="s">
        <v>45</v>
      </c>
      <c r="K165" s="2">
        <v>45025</v>
      </c>
      <c r="L165" s="1" t="s">
        <v>66</v>
      </c>
      <c r="M165" s="1" t="s">
        <v>48</v>
      </c>
      <c r="N165" s="1" t="s">
        <v>48</v>
      </c>
      <c r="O165" s="2">
        <v>45292</v>
      </c>
      <c r="P165" s="2">
        <v>45292</v>
      </c>
      <c r="Q165" s="1">
        <v>10327016</v>
      </c>
      <c r="R165" s="1" t="s">
        <v>771</v>
      </c>
      <c r="S165" s="3" t="s">
        <v>772</v>
      </c>
      <c r="T165" s="1" t="s">
        <v>52</v>
      </c>
      <c r="U165" s="1" t="s">
        <v>53</v>
      </c>
      <c r="V165" s="1" t="s">
        <v>54</v>
      </c>
      <c r="W165" s="1" t="s">
        <v>55</v>
      </c>
      <c r="X165" s="1">
        <v>1</v>
      </c>
      <c r="AA165" s="10"/>
      <c r="AB165" t="s">
        <v>773</v>
      </c>
      <c r="AF165" s="10" t="s">
        <v>77</v>
      </c>
      <c r="AL165" s="24">
        <v>0.79166666666666663</v>
      </c>
      <c r="AM165" s="24">
        <v>0.16666666666666666</v>
      </c>
    </row>
    <row r="166" spans="1:39" ht="14.25" customHeight="1">
      <c r="A166">
        <v>223</v>
      </c>
      <c r="B166" s="1">
        <v>10647097</v>
      </c>
      <c r="C166" s="1" t="s">
        <v>39</v>
      </c>
      <c r="D166" s="1" t="s">
        <v>638</v>
      </c>
      <c r="E166" s="1" t="s">
        <v>797</v>
      </c>
      <c r="F166" s="1" t="str">
        <f>D166&amp;" "&amp;E166</f>
        <v>ศิริพร ศรีทอง</v>
      </c>
      <c r="G166" s="1" t="s">
        <v>640</v>
      </c>
      <c r="H166" s="1" t="s">
        <v>798</v>
      </c>
      <c r="I166" s="1">
        <v>10647097</v>
      </c>
      <c r="J166" s="1" t="s">
        <v>45</v>
      </c>
      <c r="K166" s="2">
        <v>45874</v>
      </c>
      <c r="L166" s="1" t="s">
        <v>66</v>
      </c>
      <c r="M166" s="1" t="s">
        <v>48</v>
      </c>
      <c r="N166" s="1" t="s">
        <v>48</v>
      </c>
      <c r="O166" s="2">
        <v>45756</v>
      </c>
      <c r="P166" s="2">
        <v>45756</v>
      </c>
      <c r="Q166" s="1">
        <v>10327016</v>
      </c>
      <c r="R166" s="1" t="s">
        <v>771</v>
      </c>
      <c r="S166" s="3" t="s">
        <v>772</v>
      </c>
      <c r="T166" s="1" t="s">
        <v>52</v>
      </c>
      <c r="U166" s="1" t="s">
        <v>53</v>
      </c>
      <c r="V166" s="1" t="s">
        <v>54</v>
      </c>
      <c r="W166" s="1" t="s">
        <v>55</v>
      </c>
      <c r="X166" s="1">
        <v>1</v>
      </c>
      <c r="AA166" s="10"/>
      <c r="AB166" t="s">
        <v>773</v>
      </c>
      <c r="AF166" s="10" t="s">
        <v>77</v>
      </c>
      <c r="AL166" s="24">
        <v>0.79166666666666663</v>
      </c>
      <c r="AM166" s="24">
        <v>0.16666666666666666</v>
      </c>
    </row>
    <row r="167" spans="1:39" ht="14.25" customHeight="1">
      <c r="A167">
        <v>143</v>
      </c>
      <c r="B167" s="1">
        <v>10558924</v>
      </c>
      <c r="C167" s="1" t="s">
        <v>39</v>
      </c>
      <c r="D167" s="1" t="s">
        <v>594</v>
      </c>
      <c r="E167" s="1" t="s">
        <v>797</v>
      </c>
      <c r="F167" s="1" t="str">
        <f>D167&amp;" "&amp;E167</f>
        <v>วรรณิศา ศรีทอง</v>
      </c>
      <c r="G167" s="1" t="s">
        <v>596</v>
      </c>
      <c r="H167" s="1" t="s">
        <v>799</v>
      </c>
      <c r="I167" s="1">
        <v>10558924</v>
      </c>
      <c r="J167" s="1" t="s">
        <v>45</v>
      </c>
      <c r="K167" s="2">
        <v>44932</v>
      </c>
      <c r="L167" s="1" t="s">
        <v>66</v>
      </c>
      <c r="M167" s="1" t="s">
        <v>48</v>
      </c>
      <c r="N167" s="1" t="s">
        <v>48</v>
      </c>
      <c r="O167" s="1" t="s">
        <v>82</v>
      </c>
      <c r="P167" s="1" t="s">
        <v>82</v>
      </c>
      <c r="Q167" s="1">
        <v>10327016</v>
      </c>
      <c r="R167" s="1" t="s">
        <v>771</v>
      </c>
      <c r="S167" s="3" t="s">
        <v>772</v>
      </c>
      <c r="T167" s="1" t="s">
        <v>52</v>
      </c>
      <c r="U167" s="1" t="s">
        <v>53</v>
      </c>
      <c r="V167" s="1" t="s">
        <v>54</v>
      </c>
      <c r="W167" s="1" t="s">
        <v>55</v>
      </c>
      <c r="X167" s="1">
        <v>1</v>
      </c>
      <c r="AA167" s="10"/>
      <c r="AB167" t="s">
        <v>773</v>
      </c>
      <c r="AF167" s="10" t="s">
        <v>77</v>
      </c>
      <c r="AL167" s="24">
        <v>0.79166666666666663</v>
      </c>
      <c r="AM167" s="24">
        <v>0.16666666666666666</v>
      </c>
    </row>
    <row r="168" spans="1:39" ht="14.25" customHeight="1">
      <c r="A168">
        <v>286</v>
      </c>
      <c r="B168" s="1">
        <v>10661971</v>
      </c>
      <c r="C168" s="1" t="s">
        <v>39</v>
      </c>
      <c r="D168" s="1" t="s">
        <v>800</v>
      </c>
      <c r="E168" s="1" t="s">
        <v>801</v>
      </c>
      <c r="F168" s="1" t="str">
        <f>D168&amp;" "&amp;E168</f>
        <v>ภาวิณี นิลสุวรรณ</v>
      </c>
      <c r="G168" s="1" t="s">
        <v>802</v>
      </c>
      <c r="H168" s="1" t="s">
        <v>803</v>
      </c>
      <c r="I168" s="1">
        <v>10661971</v>
      </c>
      <c r="J168" s="1" t="s">
        <v>45</v>
      </c>
      <c r="K168" s="1" t="s">
        <v>711</v>
      </c>
      <c r="L168" s="1" t="s">
        <v>66</v>
      </c>
      <c r="M168" s="1" t="s">
        <v>48</v>
      </c>
      <c r="N168" s="1" t="s">
        <v>48</v>
      </c>
      <c r="O168" s="1" t="s">
        <v>712</v>
      </c>
      <c r="P168" s="1" t="s">
        <v>712</v>
      </c>
      <c r="Q168" s="1">
        <v>10327016</v>
      </c>
      <c r="R168" s="1" t="s">
        <v>771</v>
      </c>
      <c r="S168" s="3" t="s">
        <v>772</v>
      </c>
      <c r="T168" s="1" t="s">
        <v>52</v>
      </c>
      <c r="U168" s="1" t="s">
        <v>53</v>
      </c>
      <c r="V168" s="1" t="s">
        <v>54</v>
      </c>
      <c r="W168" s="1" t="s">
        <v>55</v>
      </c>
      <c r="X168" s="1">
        <v>1</v>
      </c>
      <c r="AA168" s="10"/>
      <c r="AB168" t="s">
        <v>773</v>
      </c>
      <c r="AF168" s="10" t="s">
        <v>77</v>
      </c>
      <c r="AL168" s="24">
        <v>0.79166666666666663</v>
      </c>
      <c r="AM168" s="24">
        <v>0.16666666666666666</v>
      </c>
    </row>
    <row r="169" spans="1:39" ht="14.25" customHeight="1">
      <c r="A169">
        <v>117</v>
      </c>
      <c r="B169" s="1">
        <v>10534526</v>
      </c>
      <c r="C169" s="1" t="s">
        <v>39</v>
      </c>
      <c r="D169" s="1" t="s">
        <v>804</v>
      </c>
      <c r="E169" s="1" t="s">
        <v>805</v>
      </c>
      <c r="F169" s="1" t="str">
        <f>D169&amp;" "&amp;E169</f>
        <v>พิมพิกา จำปาจูม</v>
      </c>
      <c r="G169" s="1" t="s">
        <v>806</v>
      </c>
      <c r="H169" s="1" t="s">
        <v>807</v>
      </c>
      <c r="I169" s="1" t="s">
        <v>808</v>
      </c>
      <c r="J169" s="1" t="s">
        <v>45</v>
      </c>
      <c r="K169" s="2">
        <v>44573</v>
      </c>
      <c r="L169" s="1" t="s">
        <v>47</v>
      </c>
      <c r="M169" s="1" t="s">
        <v>48</v>
      </c>
      <c r="N169" s="1" t="s">
        <v>48</v>
      </c>
      <c r="O169" s="1" t="s">
        <v>809</v>
      </c>
      <c r="P169" s="1" t="s">
        <v>809</v>
      </c>
      <c r="Q169" s="1">
        <v>10327015</v>
      </c>
      <c r="R169" s="1" t="s">
        <v>792</v>
      </c>
      <c r="S169" s="3" t="s">
        <v>772</v>
      </c>
      <c r="T169" s="1" t="s">
        <v>52</v>
      </c>
      <c r="U169" s="1" t="s">
        <v>53</v>
      </c>
      <c r="V169" s="1" t="s">
        <v>54</v>
      </c>
      <c r="W169" s="1" t="s">
        <v>55</v>
      </c>
      <c r="X169" s="1">
        <v>1</v>
      </c>
      <c r="AA169" s="10"/>
      <c r="AB169" t="s">
        <v>773</v>
      </c>
      <c r="AF169" s="10" t="s">
        <v>77</v>
      </c>
      <c r="AL169" s="24">
        <v>0.79166666666666663</v>
      </c>
      <c r="AM169" s="24">
        <v>0.16666666666666666</v>
      </c>
    </row>
    <row r="170" spans="1:39" ht="14.25" customHeight="1">
      <c r="A170">
        <v>155</v>
      </c>
      <c r="B170" s="1">
        <v>10573943</v>
      </c>
      <c r="C170" s="1" t="s">
        <v>39</v>
      </c>
      <c r="D170" s="1" t="s">
        <v>810</v>
      </c>
      <c r="E170" s="1" t="s">
        <v>811</v>
      </c>
      <c r="F170" s="1" t="str">
        <f>D170&amp;" "&amp;E170</f>
        <v>พัชรา ทีวงษ์</v>
      </c>
      <c r="G170" s="1" t="s">
        <v>812</v>
      </c>
      <c r="H170" s="1" t="s">
        <v>813</v>
      </c>
      <c r="I170" s="1">
        <v>10573943</v>
      </c>
      <c r="J170" s="1" t="s">
        <v>45</v>
      </c>
      <c r="K170" s="1" t="s">
        <v>814</v>
      </c>
      <c r="L170" s="1" t="s">
        <v>66</v>
      </c>
      <c r="M170" s="1" t="s">
        <v>48</v>
      </c>
      <c r="N170" s="1" t="s">
        <v>48</v>
      </c>
      <c r="O170" s="2">
        <v>45628</v>
      </c>
      <c r="P170" s="2">
        <v>45628</v>
      </c>
      <c r="Q170" s="1">
        <v>10327016</v>
      </c>
      <c r="R170" s="1" t="s">
        <v>771</v>
      </c>
      <c r="S170" s="3" t="s">
        <v>772</v>
      </c>
      <c r="T170" s="1" t="s">
        <v>52</v>
      </c>
      <c r="U170" s="1" t="s">
        <v>53</v>
      </c>
      <c r="V170" s="1" t="s">
        <v>54</v>
      </c>
      <c r="W170" s="1" t="s">
        <v>55</v>
      </c>
      <c r="X170" s="1">
        <v>1</v>
      </c>
      <c r="AA170" s="10"/>
      <c r="AB170" t="s">
        <v>773</v>
      </c>
      <c r="AF170" s="10" t="s">
        <v>77</v>
      </c>
      <c r="AL170" s="24">
        <v>0.79166666666666663</v>
      </c>
      <c r="AM170" s="24">
        <v>0.16666666666666666</v>
      </c>
    </row>
    <row r="171" spans="1:39" ht="14.25" customHeight="1">
      <c r="A171">
        <v>226</v>
      </c>
      <c r="B171" s="1">
        <v>10647108</v>
      </c>
      <c r="C171" s="1" t="s">
        <v>39</v>
      </c>
      <c r="D171" s="1" t="s">
        <v>815</v>
      </c>
      <c r="E171" s="1" t="s">
        <v>291</v>
      </c>
      <c r="F171" s="1" t="str">
        <f>D171&amp;" "&amp;E171</f>
        <v>ทอฝัน ปทุมสูตร</v>
      </c>
      <c r="G171" s="1" t="s">
        <v>816</v>
      </c>
      <c r="H171" s="1" t="s">
        <v>293</v>
      </c>
      <c r="I171" s="1">
        <v>10647108</v>
      </c>
      <c r="J171" s="1" t="s">
        <v>45</v>
      </c>
      <c r="K171" s="2">
        <v>45874</v>
      </c>
      <c r="L171" s="1" t="s">
        <v>66</v>
      </c>
      <c r="M171" s="1" t="s">
        <v>48</v>
      </c>
      <c r="N171" s="1" t="s">
        <v>48</v>
      </c>
      <c r="O171" s="2">
        <v>45756</v>
      </c>
      <c r="P171" s="2">
        <v>45756</v>
      </c>
      <c r="Q171" s="1">
        <v>10327016</v>
      </c>
      <c r="R171" s="1" t="s">
        <v>771</v>
      </c>
      <c r="S171" s="3" t="s">
        <v>772</v>
      </c>
      <c r="T171" s="1" t="s">
        <v>52</v>
      </c>
      <c r="U171" s="1" t="s">
        <v>53</v>
      </c>
      <c r="V171" s="1" t="s">
        <v>54</v>
      </c>
      <c r="W171" s="1" t="s">
        <v>55</v>
      </c>
      <c r="X171" s="1">
        <v>1</v>
      </c>
      <c r="AA171" s="10"/>
      <c r="AB171" t="s">
        <v>773</v>
      </c>
      <c r="AF171" s="10" t="s">
        <v>77</v>
      </c>
      <c r="AL171" s="24">
        <v>0.79166666666666663</v>
      </c>
      <c r="AM171" s="24">
        <v>0.16666666666666666</v>
      </c>
    </row>
    <row r="172" spans="1:39" ht="14.25" customHeight="1">
      <c r="A172">
        <v>163</v>
      </c>
      <c r="B172" s="1">
        <v>10594827</v>
      </c>
      <c r="C172" s="1" t="s">
        <v>39</v>
      </c>
      <c r="D172" s="1" t="s">
        <v>817</v>
      </c>
      <c r="E172" s="1" t="s">
        <v>319</v>
      </c>
      <c r="F172" s="1" t="str">
        <f>D172&amp;" "&amp;E172</f>
        <v>ณิรชา ชำนาญปืน</v>
      </c>
      <c r="G172" s="1" t="s">
        <v>818</v>
      </c>
      <c r="H172" s="1" t="s">
        <v>321</v>
      </c>
      <c r="I172" s="1">
        <v>10594827</v>
      </c>
      <c r="J172" s="1" t="s">
        <v>45</v>
      </c>
      <c r="K172" s="1" t="s">
        <v>819</v>
      </c>
      <c r="L172" s="1" t="s">
        <v>66</v>
      </c>
      <c r="M172" s="1" t="s">
        <v>48</v>
      </c>
      <c r="N172" s="1" t="s">
        <v>48</v>
      </c>
      <c r="O172" s="1" t="s">
        <v>820</v>
      </c>
      <c r="P172" s="1" t="s">
        <v>820</v>
      </c>
      <c r="Q172" s="1">
        <v>10327016</v>
      </c>
      <c r="R172" s="1" t="s">
        <v>771</v>
      </c>
      <c r="S172" s="3" t="s">
        <v>772</v>
      </c>
      <c r="T172" s="1" t="s">
        <v>52</v>
      </c>
      <c r="U172" s="1" t="s">
        <v>53</v>
      </c>
      <c r="V172" s="1" t="s">
        <v>54</v>
      </c>
      <c r="W172" s="1" t="s">
        <v>55</v>
      </c>
      <c r="X172" s="1">
        <v>1</v>
      </c>
      <c r="AA172" s="10"/>
      <c r="AB172" t="s">
        <v>773</v>
      </c>
      <c r="AF172" s="10" t="s">
        <v>77</v>
      </c>
      <c r="AL172" s="24">
        <v>0.79166666666666663</v>
      </c>
      <c r="AM172" s="24">
        <v>0.16666666666666666</v>
      </c>
    </row>
    <row r="173" spans="1:39" ht="14.25" customHeight="1">
      <c r="A173">
        <v>404</v>
      </c>
      <c r="B173" s="1">
        <v>10688532</v>
      </c>
      <c r="C173" s="1" t="s">
        <v>92</v>
      </c>
      <c r="D173" s="1" t="s">
        <v>821</v>
      </c>
      <c r="E173" s="1" t="s">
        <v>822</v>
      </c>
      <c r="F173" s="1" t="str">
        <f>D173&amp;" "&amp;E173</f>
        <v>กรรชัย คำฟู</v>
      </c>
      <c r="G173" s="1" t="s">
        <v>823</v>
      </c>
      <c r="H173" s="1" t="s">
        <v>824</v>
      </c>
      <c r="I173" s="1">
        <v>10688532</v>
      </c>
      <c r="J173" s="1" t="s">
        <v>45</v>
      </c>
      <c r="K173" s="1" t="s">
        <v>453</v>
      </c>
      <c r="L173" s="1" t="s">
        <v>66</v>
      </c>
      <c r="M173" s="1" t="s">
        <v>48</v>
      </c>
      <c r="N173" s="1" t="s">
        <v>98</v>
      </c>
      <c r="O173" s="1" t="s">
        <v>454</v>
      </c>
      <c r="P173" s="1" t="s">
        <v>100</v>
      </c>
      <c r="Q173" s="1">
        <v>10358514</v>
      </c>
      <c r="R173" s="1" t="s">
        <v>706</v>
      </c>
      <c r="S173" s="3" t="s">
        <v>825</v>
      </c>
      <c r="T173" s="1" t="s">
        <v>52</v>
      </c>
      <c r="U173" s="1" t="s">
        <v>53</v>
      </c>
      <c r="V173" s="1" t="s">
        <v>54</v>
      </c>
      <c r="W173" s="1" t="s">
        <v>55</v>
      </c>
      <c r="X173" s="1">
        <v>1</v>
      </c>
      <c r="Y173" s="10" t="s">
        <v>604</v>
      </c>
      <c r="Z173" s="10"/>
      <c r="AA173" s="10"/>
      <c r="AB173" s="10" t="s">
        <v>605</v>
      </c>
      <c r="AC173" s="32"/>
      <c r="AD173" s="10"/>
      <c r="AE173" s="10"/>
      <c r="AF173" s="10" t="s">
        <v>77</v>
      </c>
      <c r="AG173" s="10"/>
      <c r="AH173" s="10"/>
      <c r="AI173" s="37">
        <v>16</v>
      </c>
      <c r="AJ173" s="37">
        <v>1</v>
      </c>
    </row>
    <row r="174" spans="1:39" ht="14.25" customHeight="1">
      <c r="A174">
        <v>6</v>
      </c>
      <c r="B174" s="1">
        <v>10232733</v>
      </c>
      <c r="C174" s="1" t="s">
        <v>39</v>
      </c>
      <c r="D174" s="1" t="s">
        <v>826</v>
      </c>
      <c r="E174" s="1" t="s">
        <v>751</v>
      </c>
      <c r="F174" s="1" t="str">
        <f>D174&amp;" "&amp;E174</f>
        <v>อภัตรชา เบ็ญจวรรณ</v>
      </c>
      <c r="G174" s="1" t="s">
        <v>827</v>
      </c>
      <c r="H174" s="1" t="s">
        <v>828</v>
      </c>
      <c r="I174" s="1" t="s">
        <v>829</v>
      </c>
      <c r="J174" s="1" t="s">
        <v>45</v>
      </c>
      <c r="K174" s="2">
        <v>41982</v>
      </c>
      <c r="L174" s="1" t="s">
        <v>47</v>
      </c>
      <c r="M174" s="1" t="s">
        <v>48</v>
      </c>
      <c r="N174" s="1" t="s">
        <v>48</v>
      </c>
      <c r="O174" s="2">
        <v>42248</v>
      </c>
      <c r="P174" s="2">
        <v>42248</v>
      </c>
      <c r="Q174" s="1">
        <v>10358535</v>
      </c>
      <c r="R174" s="1" t="s">
        <v>830</v>
      </c>
      <c r="S174" s="3" t="s">
        <v>825</v>
      </c>
      <c r="T174" s="1" t="s">
        <v>52</v>
      </c>
      <c r="U174" s="1" t="s">
        <v>53</v>
      </c>
      <c r="V174" s="1" t="s">
        <v>54</v>
      </c>
      <c r="W174" s="1" t="s">
        <v>55</v>
      </c>
      <c r="X174" s="1">
        <v>1</v>
      </c>
      <c r="Y174" s="10" t="s">
        <v>604</v>
      </c>
      <c r="Z174" s="10"/>
      <c r="AA174" s="10"/>
      <c r="AB174" s="10" t="s">
        <v>831</v>
      </c>
      <c r="AC174" s="32" t="s">
        <v>102</v>
      </c>
      <c r="AD174" s="10"/>
      <c r="AE174" s="10"/>
      <c r="AF174" s="10" t="s">
        <v>59</v>
      </c>
      <c r="AG174" s="10"/>
      <c r="AH174" s="10"/>
      <c r="AI174" s="24">
        <v>0.20833333333333334</v>
      </c>
      <c r="AJ174" s="24">
        <v>0.58333333333333337</v>
      </c>
    </row>
    <row r="175" spans="1:39" ht="14.25" customHeight="1">
      <c r="A175">
        <v>242</v>
      </c>
      <c r="B175" s="1">
        <v>10654262</v>
      </c>
      <c r="C175" s="1" t="s">
        <v>92</v>
      </c>
      <c r="D175" s="1" t="s">
        <v>832</v>
      </c>
      <c r="E175" s="1" t="s">
        <v>833</v>
      </c>
      <c r="F175" s="1" t="str">
        <f>D175&amp;" "&amp;E175</f>
        <v>สุรเชษฐ แก้วนก</v>
      </c>
      <c r="G175" s="1" t="s">
        <v>834</v>
      </c>
      <c r="H175" s="1" t="s">
        <v>835</v>
      </c>
      <c r="I175" s="1">
        <v>10654262</v>
      </c>
      <c r="J175" s="1" t="s">
        <v>45</v>
      </c>
      <c r="K175" s="2">
        <v>45845</v>
      </c>
      <c r="L175" s="1" t="s">
        <v>66</v>
      </c>
      <c r="M175" s="1" t="s">
        <v>48</v>
      </c>
      <c r="N175" s="1" t="s">
        <v>48</v>
      </c>
      <c r="O175" s="2">
        <v>45727</v>
      </c>
      <c r="P175" s="2">
        <v>45727</v>
      </c>
      <c r="Q175" s="1">
        <v>10358514</v>
      </c>
      <c r="R175" s="1" t="s">
        <v>706</v>
      </c>
      <c r="S175" s="3" t="s">
        <v>825</v>
      </c>
      <c r="T175" s="1" t="s">
        <v>52</v>
      </c>
      <c r="U175" s="1" t="s">
        <v>53</v>
      </c>
      <c r="V175" s="1" t="s">
        <v>54</v>
      </c>
      <c r="W175" s="1" t="s">
        <v>55</v>
      </c>
      <c r="X175" s="1">
        <v>1</v>
      </c>
      <c r="Y175" s="10" t="s">
        <v>604</v>
      </c>
      <c r="Z175" s="10"/>
      <c r="AA175" s="10"/>
      <c r="AB175" s="10" t="s">
        <v>831</v>
      </c>
      <c r="AC175" s="32" t="s">
        <v>102</v>
      </c>
      <c r="AD175" s="10"/>
      <c r="AE175" s="10"/>
      <c r="AF175" s="10" t="s">
        <v>59</v>
      </c>
      <c r="AG175" s="10"/>
      <c r="AH175" s="10"/>
      <c r="AI175" s="37">
        <v>0.20833333333333334</v>
      </c>
      <c r="AJ175" s="24">
        <v>0.58333333333333337</v>
      </c>
    </row>
    <row r="176" spans="1:39" ht="14.25" customHeight="1">
      <c r="B176">
        <v>10417544</v>
      </c>
      <c r="D176" t="s">
        <v>154</v>
      </c>
      <c r="E176" t="s">
        <v>155</v>
      </c>
      <c r="S176" s="3" t="s">
        <v>825</v>
      </c>
      <c r="AA176" s="10"/>
      <c r="AB176" s="10" t="s">
        <v>831</v>
      </c>
      <c r="AC176" s="32" t="s">
        <v>102</v>
      </c>
      <c r="AF176" s="10" t="s">
        <v>59</v>
      </c>
      <c r="AI176" s="24">
        <v>0.20833333333333334</v>
      </c>
      <c r="AJ176" s="24">
        <v>0.58333333333333337</v>
      </c>
    </row>
    <row r="177" spans="1:39" ht="14.25" customHeight="1">
      <c r="A177">
        <v>388</v>
      </c>
      <c r="B177" s="1">
        <v>10685996</v>
      </c>
      <c r="C177" s="1" t="s">
        <v>92</v>
      </c>
      <c r="D177" s="1" t="s">
        <v>836</v>
      </c>
      <c r="E177" s="1" t="s">
        <v>837</v>
      </c>
      <c r="F177" s="1" t="str">
        <f>D177&amp;" "&amp;E177</f>
        <v>สมยศ เม่นน้อย</v>
      </c>
      <c r="G177" s="1" t="s">
        <v>838</v>
      </c>
      <c r="H177" s="1" t="s">
        <v>839</v>
      </c>
      <c r="I177" s="1">
        <v>10685996</v>
      </c>
      <c r="J177" s="1" t="s">
        <v>45</v>
      </c>
      <c r="K177" s="2">
        <v>46145</v>
      </c>
      <c r="L177" s="1" t="s">
        <v>66</v>
      </c>
      <c r="M177" s="1" t="s">
        <v>48</v>
      </c>
      <c r="N177" s="1" t="s">
        <v>98</v>
      </c>
      <c r="O177" s="2">
        <v>46060</v>
      </c>
      <c r="P177" s="1" t="s">
        <v>100</v>
      </c>
      <c r="Q177" s="1">
        <v>10358507</v>
      </c>
      <c r="R177" s="1" t="s">
        <v>840</v>
      </c>
      <c r="S177" s="3" t="s">
        <v>825</v>
      </c>
      <c r="T177" s="1" t="s">
        <v>52</v>
      </c>
      <c r="U177" s="1" t="s">
        <v>53</v>
      </c>
      <c r="V177" s="1" t="s">
        <v>54</v>
      </c>
      <c r="W177" s="1" t="s">
        <v>55</v>
      </c>
      <c r="X177" s="1">
        <v>1</v>
      </c>
      <c r="Y177" s="10" t="s">
        <v>604</v>
      </c>
      <c r="Z177" s="10"/>
      <c r="AA177" s="10"/>
      <c r="AB177" s="10" t="s">
        <v>831</v>
      </c>
      <c r="AC177" s="32" t="s">
        <v>102</v>
      </c>
      <c r="AD177" s="10"/>
      <c r="AE177" s="10"/>
      <c r="AF177" s="10" t="s">
        <v>59</v>
      </c>
      <c r="AG177" s="10"/>
      <c r="AH177" s="10"/>
      <c r="AI177" s="24">
        <v>0.20833333333333334</v>
      </c>
      <c r="AJ177" s="24">
        <v>0.58333333333333337</v>
      </c>
    </row>
    <row r="178" spans="1:39" ht="14.25" customHeight="1">
      <c r="A178">
        <v>245</v>
      </c>
      <c r="B178" s="1">
        <v>10656602</v>
      </c>
      <c r="C178" s="1" t="s">
        <v>92</v>
      </c>
      <c r="D178" s="1" t="s">
        <v>568</v>
      </c>
      <c r="E178" s="1" t="s">
        <v>841</v>
      </c>
      <c r="F178" s="1" t="str">
        <f>D178&amp;" "&amp;E178</f>
        <v>ศราวุธ ศิริรวง</v>
      </c>
      <c r="G178" s="1" t="s">
        <v>156</v>
      </c>
      <c r="H178" s="1" t="s">
        <v>842</v>
      </c>
      <c r="I178" s="1">
        <v>10656602</v>
      </c>
      <c r="J178" s="1" t="s">
        <v>45</v>
      </c>
      <c r="K178" s="1" t="s">
        <v>668</v>
      </c>
      <c r="L178" s="1" t="s">
        <v>66</v>
      </c>
      <c r="M178" s="1" t="s">
        <v>48</v>
      </c>
      <c r="N178" s="1" t="s">
        <v>48</v>
      </c>
      <c r="O178" s="1" t="s">
        <v>669</v>
      </c>
      <c r="P178" s="1" t="s">
        <v>669</v>
      </c>
      <c r="Q178" s="1">
        <v>10358514</v>
      </c>
      <c r="R178" s="1" t="s">
        <v>706</v>
      </c>
      <c r="S178" s="3" t="s">
        <v>825</v>
      </c>
      <c r="T178" s="1" t="s">
        <v>52</v>
      </c>
      <c r="U178" s="1" t="s">
        <v>53</v>
      </c>
      <c r="V178" s="1" t="s">
        <v>54</v>
      </c>
      <c r="W178" s="1" t="s">
        <v>55</v>
      </c>
      <c r="X178" s="1">
        <v>1</v>
      </c>
      <c r="Y178" s="10" t="s">
        <v>604</v>
      </c>
      <c r="Z178" s="10"/>
      <c r="AA178" s="10"/>
      <c r="AB178" s="10" t="s">
        <v>831</v>
      </c>
      <c r="AC178" s="32" t="s">
        <v>102</v>
      </c>
      <c r="AD178" s="10"/>
      <c r="AE178" s="10"/>
      <c r="AF178" s="10" t="s">
        <v>59</v>
      </c>
      <c r="AG178" s="10"/>
      <c r="AH178" s="10"/>
      <c r="AI178" s="24">
        <v>0.20833333333333334</v>
      </c>
      <c r="AJ178" s="24">
        <v>0.58333333333333337</v>
      </c>
    </row>
    <row r="179" spans="1:39" ht="14.25" customHeight="1">
      <c r="A179">
        <v>367</v>
      </c>
      <c r="B179" s="1">
        <v>10680582</v>
      </c>
      <c r="C179" s="1" t="s">
        <v>92</v>
      </c>
      <c r="D179" s="1" t="s">
        <v>568</v>
      </c>
      <c r="E179" s="1" t="s">
        <v>843</v>
      </c>
      <c r="F179" s="1" t="str">
        <f>D179&amp;" "&amp;E179</f>
        <v>ศราวุธ ขวัญเมือง</v>
      </c>
      <c r="G179" s="1" t="s">
        <v>156</v>
      </c>
      <c r="H179" s="1" t="s">
        <v>844</v>
      </c>
      <c r="I179" s="1">
        <v>10680582</v>
      </c>
      <c r="J179" s="1" t="s">
        <v>45</v>
      </c>
      <c r="K179" s="1" t="s">
        <v>259</v>
      </c>
      <c r="L179" s="1" t="s">
        <v>66</v>
      </c>
      <c r="M179" s="1" t="s">
        <v>48</v>
      </c>
      <c r="N179" s="1" t="s">
        <v>98</v>
      </c>
      <c r="O179" s="1" t="s">
        <v>260</v>
      </c>
      <c r="P179" s="1" t="s">
        <v>100</v>
      </c>
      <c r="Q179" s="1">
        <v>10358514</v>
      </c>
      <c r="R179" s="1" t="s">
        <v>706</v>
      </c>
      <c r="S179" s="3" t="s">
        <v>825</v>
      </c>
      <c r="T179" s="1" t="s">
        <v>52</v>
      </c>
      <c r="U179" s="1" t="s">
        <v>53</v>
      </c>
      <c r="V179" s="1" t="s">
        <v>54</v>
      </c>
      <c r="W179" s="1" t="s">
        <v>55</v>
      </c>
      <c r="X179" s="1">
        <v>1</v>
      </c>
      <c r="Y179" s="10" t="s">
        <v>604</v>
      </c>
      <c r="Z179" s="10"/>
      <c r="AA179" s="10"/>
      <c r="AB179" s="10" t="s">
        <v>831</v>
      </c>
      <c r="AC179" s="32" t="s">
        <v>102</v>
      </c>
      <c r="AD179" s="10"/>
      <c r="AE179" s="10"/>
      <c r="AF179" s="10" t="s">
        <v>59</v>
      </c>
      <c r="AG179" s="10"/>
      <c r="AH179" s="10"/>
      <c r="AI179" s="24">
        <v>0.20833333333333334</v>
      </c>
      <c r="AJ179" s="24">
        <v>0.58333333333333337</v>
      </c>
    </row>
    <row r="180" spans="1:39" ht="14.25" customHeight="1">
      <c r="A180">
        <v>272</v>
      </c>
      <c r="B180" s="1">
        <v>10659600</v>
      </c>
      <c r="C180" s="1" t="s">
        <v>92</v>
      </c>
      <c r="D180" s="1" t="s">
        <v>845</v>
      </c>
      <c r="E180" s="1" t="s">
        <v>843</v>
      </c>
      <c r="F180" s="1" t="str">
        <f>D180&amp;" "&amp;E180</f>
        <v>เติม ขวัญเมือง</v>
      </c>
      <c r="G180" s="1" t="s">
        <v>846</v>
      </c>
      <c r="H180" s="1" t="s">
        <v>844</v>
      </c>
      <c r="I180" s="1">
        <v>10659600</v>
      </c>
      <c r="J180" s="1" t="s">
        <v>45</v>
      </c>
      <c r="K180" s="2">
        <v>45969</v>
      </c>
      <c r="L180" s="1" t="s">
        <v>66</v>
      </c>
      <c r="M180" s="1" t="s">
        <v>48</v>
      </c>
      <c r="N180" s="1" t="s">
        <v>48</v>
      </c>
      <c r="O180" s="2">
        <v>45881</v>
      </c>
      <c r="P180" s="2">
        <v>45881</v>
      </c>
      <c r="Q180" s="1">
        <v>10358514</v>
      </c>
      <c r="R180" s="1" t="s">
        <v>706</v>
      </c>
      <c r="S180" s="3" t="s">
        <v>825</v>
      </c>
      <c r="T180" s="1" t="s">
        <v>52</v>
      </c>
      <c r="U180" s="1" t="s">
        <v>53</v>
      </c>
      <c r="V180" s="1" t="s">
        <v>54</v>
      </c>
      <c r="W180" s="1" t="s">
        <v>55</v>
      </c>
      <c r="X180" s="1">
        <v>1</v>
      </c>
      <c r="Y180" s="10" t="s">
        <v>604</v>
      </c>
      <c r="Z180" s="10"/>
      <c r="AA180" s="10"/>
      <c r="AB180" s="10" t="s">
        <v>831</v>
      </c>
      <c r="AC180" s="32" t="s">
        <v>102</v>
      </c>
      <c r="AD180" s="10"/>
      <c r="AE180" s="10"/>
      <c r="AF180" s="10" t="s">
        <v>59</v>
      </c>
      <c r="AG180" s="10"/>
      <c r="AH180" s="10"/>
      <c r="AI180" s="24">
        <v>0.20833333333333334</v>
      </c>
      <c r="AJ180" s="24">
        <v>0.58333333333333337</v>
      </c>
    </row>
    <row r="181" spans="1:39" ht="14.25" customHeight="1">
      <c r="B181">
        <v>10688535</v>
      </c>
      <c r="D181" t="s">
        <v>213</v>
      </c>
      <c r="E181" t="s">
        <v>847</v>
      </c>
      <c r="S181" s="3" t="s">
        <v>825</v>
      </c>
      <c r="AA181" s="10"/>
      <c r="AB181" s="10" t="s">
        <v>831</v>
      </c>
      <c r="AC181" s="32" t="s">
        <v>102</v>
      </c>
      <c r="AF181" s="10" t="s">
        <v>59</v>
      </c>
      <c r="AI181" s="24">
        <v>0.20833333333333334</v>
      </c>
      <c r="AJ181" s="24">
        <v>0.58333333333333337</v>
      </c>
      <c r="AL181" s="37"/>
      <c r="AM181" s="37"/>
    </row>
    <row r="182" spans="1:39" ht="14.25" customHeight="1">
      <c r="A182">
        <v>132</v>
      </c>
      <c r="B182" s="1">
        <v>10546592</v>
      </c>
      <c r="C182" s="1" t="s">
        <v>415</v>
      </c>
      <c r="D182" s="1" t="s">
        <v>848</v>
      </c>
      <c r="E182" s="1" t="s">
        <v>849</v>
      </c>
      <c r="F182" s="1" t="str">
        <f>D182&amp;" "&amp;E182</f>
        <v>SETH TORNG</v>
      </c>
      <c r="G182" s="1" t="s">
        <v>848</v>
      </c>
      <c r="H182" s="1" t="s">
        <v>849</v>
      </c>
      <c r="I182" s="1">
        <v>10546592</v>
      </c>
      <c r="J182" s="1" t="s">
        <v>45</v>
      </c>
      <c r="K182" s="2">
        <v>45019</v>
      </c>
      <c r="L182" s="1" t="s">
        <v>66</v>
      </c>
      <c r="M182" s="1" t="s">
        <v>48</v>
      </c>
      <c r="N182" s="1" t="s">
        <v>48</v>
      </c>
      <c r="O182" s="2">
        <v>44933</v>
      </c>
      <c r="P182" s="2">
        <v>44933</v>
      </c>
      <c r="Q182" s="1">
        <v>10282294</v>
      </c>
      <c r="R182" s="1" t="s">
        <v>850</v>
      </c>
      <c r="S182" s="3" t="s">
        <v>825</v>
      </c>
      <c r="T182" s="1" t="s">
        <v>52</v>
      </c>
      <c r="U182" s="1" t="s">
        <v>53</v>
      </c>
      <c r="V182" s="1" t="s">
        <v>54</v>
      </c>
      <c r="W182" s="1" t="s">
        <v>418</v>
      </c>
      <c r="X182" s="1">
        <v>1</v>
      </c>
      <c r="Y182" s="10" t="s">
        <v>604</v>
      </c>
      <c r="Z182" s="10"/>
      <c r="AA182" s="10"/>
      <c r="AB182" s="10" t="s">
        <v>831</v>
      </c>
      <c r="AC182" s="32" t="s">
        <v>102</v>
      </c>
      <c r="AD182" s="10"/>
      <c r="AE182" s="10"/>
      <c r="AF182" s="10" t="s">
        <v>59</v>
      </c>
      <c r="AG182" s="10"/>
      <c r="AH182" s="10"/>
      <c r="AI182" s="24">
        <v>0.20833333333333334</v>
      </c>
      <c r="AJ182" s="24">
        <v>0.58333333333333337</v>
      </c>
    </row>
    <row r="183" spans="1:39" ht="14.25" customHeight="1">
      <c r="A183">
        <v>423</v>
      </c>
      <c r="B183" s="1">
        <v>10691699</v>
      </c>
      <c r="C183" s="1" t="s">
        <v>415</v>
      </c>
      <c r="D183" s="1" t="s">
        <v>851</v>
      </c>
      <c r="E183" s="1" t="s">
        <v>631</v>
      </c>
      <c r="F183" s="1" t="str">
        <f>D183&amp;" "&amp;E183</f>
        <v>PYAE PHYO AUNG -</v>
      </c>
      <c r="G183" s="1" t="s">
        <v>851</v>
      </c>
      <c r="H183" s="1" t="s">
        <v>631</v>
      </c>
      <c r="I183" s="1">
        <v>10691699</v>
      </c>
      <c r="J183" s="1" t="s">
        <v>45</v>
      </c>
      <c r="K183" s="2">
        <v>46026</v>
      </c>
      <c r="L183" s="1" t="s">
        <v>66</v>
      </c>
      <c r="M183" s="1" t="s">
        <v>48</v>
      </c>
      <c r="N183" s="1" t="s">
        <v>98</v>
      </c>
      <c r="O183" s="1" t="s">
        <v>466</v>
      </c>
      <c r="P183" s="1" t="s">
        <v>100</v>
      </c>
      <c r="Q183" s="1">
        <v>10358514</v>
      </c>
      <c r="R183" s="1" t="s">
        <v>706</v>
      </c>
      <c r="S183" s="3" t="s">
        <v>825</v>
      </c>
      <c r="T183" s="1" t="s">
        <v>52</v>
      </c>
      <c r="U183" s="1" t="s">
        <v>53</v>
      </c>
      <c r="V183" s="1" t="s">
        <v>54</v>
      </c>
      <c r="W183" s="1" t="s">
        <v>632</v>
      </c>
      <c r="X183" s="1">
        <v>1</v>
      </c>
      <c r="Y183" s="10" t="s">
        <v>604</v>
      </c>
      <c r="Z183" s="10"/>
      <c r="AA183" s="10"/>
      <c r="AB183" s="10" t="s">
        <v>831</v>
      </c>
      <c r="AC183" s="32" t="s">
        <v>102</v>
      </c>
      <c r="AD183" s="10"/>
      <c r="AE183" s="10"/>
      <c r="AF183" s="10" t="s">
        <v>59</v>
      </c>
      <c r="AG183" s="10"/>
      <c r="AH183" s="10"/>
      <c r="AI183" s="24">
        <v>0.20833333333333334</v>
      </c>
      <c r="AJ183" s="24">
        <v>0.58333333333333337</v>
      </c>
    </row>
    <row r="184" spans="1:39" ht="14.25" customHeight="1">
      <c r="A184">
        <v>422</v>
      </c>
      <c r="B184" s="1">
        <v>10691696</v>
      </c>
      <c r="C184" s="1" t="s">
        <v>415</v>
      </c>
      <c r="D184" s="1" t="s">
        <v>852</v>
      </c>
      <c r="E184" s="1" t="s">
        <v>631</v>
      </c>
      <c r="F184" s="1" t="str">
        <f>D184&amp;" "&amp;E184</f>
        <v>NYI NYI NAING -</v>
      </c>
      <c r="G184" s="1" t="s">
        <v>852</v>
      </c>
      <c r="H184" s="1" t="s">
        <v>631</v>
      </c>
      <c r="I184" s="1">
        <v>10691696</v>
      </c>
      <c r="J184" s="1" t="s">
        <v>45</v>
      </c>
      <c r="K184" s="2">
        <v>46026</v>
      </c>
      <c r="L184" s="1" t="s">
        <v>66</v>
      </c>
      <c r="M184" s="1" t="s">
        <v>48</v>
      </c>
      <c r="N184" s="1" t="s">
        <v>98</v>
      </c>
      <c r="O184" s="1" t="s">
        <v>466</v>
      </c>
      <c r="P184" s="1" t="s">
        <v>100</v>
      </c>
      <c r="Q184" s="1">
        <v>10358514</v>
      </c>
      <c r="R184" s="1" t="s">
        <v>706</v>
      </c>
      <c r="S184" s="3" t="s">
        <v>825</v>
      </c>
      <c r="T184" s="1" t="s">
        <v>52</v>
      </c>
      <c r="U184" s="1" t="s">
        <v>53</v>
      </c>
      <c r="V184" s="1" t="s">
        <v>54</v>
      </c>
      <c r="W184" s="1" t="s">
        <v>632</v>
      </c>
      <c r="X184" s="1">
        <v>1</v>
      </c>
      <c r="Y184" s="10" t="s">
        <v>604</v>
      </c>
      <c r="Z184" s="10"/>
      <c r="AA184" s="10"/>
      <c r="AB184" s="10" t="s">
        <v>831</v>
      </c>
      <c r="AC184" s="32" t="s">
        <v>102</v>
      </c>
      <c r="AD184" s="10"/>
      <c r="AE184" s="10"/>
      <c r="AF184" s="10" t="s">
        <v>59</v>
      </c>
      <c r="AG184" s="10"/>
      <c r="AH184" s="10"/>
      <c r="AI184" s="24">
        <v>0.20833333333333334</v>
      </c>
      <c r="AJ184" s="24">
        <v>0.58333333333333337</v>
      </c>
    </row>
    <row r="185" spans="1:39" ht="14.25" customHeight="1">
      <c r="A185">
        <v>171</v>
      </c>
      <c r="B185" s="1">
        <v>10604067</v>
      </c>
      <c r="C185" s="1" t="s">
        <v>415</v>
      </c>
      <c r="D185" s="1" t="s">
        <v>853</v>
      </c>
      <c r="E185" s="1" t="s">
        <v>854</v>
      </c>
      <c r="F185" s="1" t="str">
        <f>D185&amp;" "&amp;E185</f>
        <v>LA LAM</v>
      </c>
      <c r="G185" s="1" t="s">
        <v>853</v>
      </c>
      <c r="H185" s="1" t="s">
        <v>854</v>
      </c>
      <c r="I185" s="1">
        <v>10604067</v>
      </c>
      <c r="J185" s="1" t="s">
        <v>45</v>
      </c>
      <c r="K185" s="2">
        <v>45569</v>
      </c>
      <c r="L185" s="1" t="s">
        <v>66</v>
      </c>
      <c r="M185" s="1" t="s">
        <v>48</v>
      </c>
      <c r="N185" s="1" t="s">
        <v>48</v>
      </c>
      <c r="O185" s="2">
        <v>45481</v>
      </c>
      <c r="P185" s="2">
        <v>45481</v>
      </c>
      <c r="Q185" s="1">
        <v>10358506</v>
      </c>
      <c r="R185" s="1" t="s">
        <v>855</v>
      </c>
      <c r="S185" s="3" t="s">
        <v>825</v>
      </c>
      <c r="T185" s="1" t="s">
        <v>52</v>
      </c>
      <c r="U185" s="1" t="s">
        <v>53</v>
      </c>
      <c r="V185" s="1" t="s">
        <v>54</v>
      </c>
      <c r="W185" s="1" t="s">
        <v>418</v>
      </c>
      <c r="X185" s="1">
        <v>1</v>
      </c>
      <c r="Y185" s="10" t="s">
        <v>604</v>
      </c>
      <c r="Z185" s="10"/>
      <c r="AA185" s="10"/>
      <c r="AB185" s="10" t="s">
        <v>831</v>
      </c>
      <c r="AC185" s="32" t="s">
        <v>102</v>
      </c>
      <c r="AD185" s="10"/>
      <c r="AE185" s="10"/>
      <c r="AF185" s="10" t="s">
        <v>59</v>
      </c>
      <c r="AG185" s="10"/>
      <c r="AH185" s="10"/>
      <c r="AI185" s="24">
        <v>0.20833333333333334</v>
      </c>
      <c r="AJ185" s="24">
        <v>0.58333333333333337</v>
      </c>
    </row>
    <row r="186" spans="1:39" ht="14.25" customHeight="1">
      <c r="A186">
        <v>75</v>
      </c>
      <c r="B186" s="1">
        <v>10419556</v>
      </c>
      <c r="C186" s="1" t="s">
        <v>92</v>
      </c>
      <c r="D186" s="1" t="s">
        <v>856</v>
      </c>
      <c r="E186" s="1" t="s">
        <v>708</v>
      </c>
      <c r="F186" s="1" t="str">
        <f>D186&amp;" "&amp;E186</f>
        <v>อภิสิทธิ์ คำนิสา</v>
      </c>
      <c r="G186" s="1" t="s">
        <v>857</v>
      </c>
      <c r="H186" s="1" t="s">
        <v>710</v>
      </c>
      <c r="I186" s="1">
        <v>10419556</v>
      </c>
      <c r="J186" s="1" t="s">
        <v>45</v>
      </c>
      <c r="K186" s="1" t="s">
        <v>333</v>
      </c>
      <c r="L186" s="1" t="s">
        <v>66</v>
      </c>
      <c r="M186" s="1" t="s">
        <v>48</v>
      </c>
      <c r="N186" s="1" t="s">
        <v>48</v>
      </c>
      <c r="O186" s="1" t="s">
        <v>334</v>
      </c>
      <c r="P186" s="1" t="s">
        <v>334</v>
      </c>
      <c r="Q186" s="1">
        <v>10282294</v>
      </c>
      <c r="R186" s="1" t="s">
        <v>850</v>
      </c>
      <c r="S186" s="3" t="s">
        <v>825</v>
      </c>
      <c r="T186" s="1" t="s">
        <v>52</v>
      </c>
      <c r="U186" s="1" t="s">
        <v>53</v>
      </c>
      <c r="V186" s="1" t="s">
        <v>54</v>
      </c>
      <c r="W186" s="1" t="s">
        <v>55</v>
      </c>
      <c r="X186" s="1">
        <v>1</v>
      </c>
      <c r="Y186" s="10" t="s">
        <v>604</v>
      </c>
      <c r="Z186" s="10"/>
      <c r="AA186" s="10"/>
      <c r="AB186" s="10" t="s">
        <v>831</v>
      </c>
      <c r="AC186" s="32" t="s">
        <v>102</v>
      </c>
      <c r="AD186" s="10"/>
      <c r="AE186" s="10"/>
      <c r="AF186" s="10" t="s">
        <v>77</v>
      </c>
      <c r="AG186" s="10"/>
      <c r="AH186" s="10"/>
    </row>
    <row r="187" spans="1:39" ht="14.25" customHeight="1">
      <c r="A187">
        <v>344</v>
      </c>
      <c r="B187" s="1">
        <v>10675936</v>
      </c>
      <c r="C187" s="1" t="s">
        <v>92</v>
      </c>
      <c r="D187" s="1" t="s">
        <v>858</v>
      </c>
      <c r="E187" s="1" t="s">
        <v>122</v>
      </c>
      <c r="F187" s="1" t="str">
        <f>D187&amp;" "&amp;E187</f>
        <v>สิทธิศักดิ์ สุวรรณ์</v>
      </c>
      <c r="G187" s="1" t="s">
        <v>859</v>
      </c>
      <c r="H187" s="1" t="s">
        <v>124</v>
      </c>
      <c r="I187" s="1">
        <v>10675936</v>
      </c>
      <c r="J187" s="1" t="s">
        <v>45</v>
      </c>
      <c r="K187" s="1" t="s">
        <v>860</v>
      </c>
      <c r="L187" s="1" t="s">
        <v>66</v>
      </c>
      <c r="M187" s="1" t="s">
        <v>48</v>
      </c>
      <c r="N187" s="1" t="s">
        <v>48</v>
      </c>
      <c r="O187" s="1" t="s">
        <v>861</v>
      </c>
      <c r="P187" s="1" t="s">
        <v>861</v>
      </c>
      <c r="Q187" s="1">
        <v>10358514</v>
      </c>
      <c r="R187" s="1" t="s">
        <v>706</v>
      </c>
      <c r="S187" s="3" t="s">
        <v>825</v>
      </c>
      <c r="T187" s="1" t="s">
        <v>52</v>
      </c>
      <c r="U187" s="1" t="s">
        <v>53</v>
      </c>
      <c r="V187" s="1" t="s">
        <v>54</v>
      </c>
      <c r="W187" s="1" t="s">
        <v>55</v>
      </c>
      <c r="X187" s="1">
        <v>1</v>
      </c>
      <c r="Y187" s="10" t="s">
        <v>604</v>
      </c>
      <c r="Z187" s="10"/>
      <c r="AA187" s="10"/>
      <c r="AB187" s="10" t="s">
        <v>831</v>
      </c>
      <c r="AC187" s="32" t="s">
        <v>102</v>
      </c>
      <c r="AD187" s="10"/>
      <c r="AE187" s="10"/>
      <c r="AF187" s="10" t="s">
        <v>77</v>
      </c>
      <c r="AG187" s="10"/>
      <c r="AH187" s="10"/>
    </row>
    <row r="188" spans="1:39" ht="14.25" customHeight="1">
      <c r="A188">
        <v>71</v>
      </c>
      <c r="B188" s="1">
        <v>10416390</v>
      </c>
      <c r="C188" s="1" t="s">
        <v>92</v>
      </c>
      <c r="D188" s="1" t="s">
        <v>152</v>
      </c>
      <c r="E188" s="1" t="s">
        <v>862</v>
      </c>
      <c r="F188" s="1" t="str">
        <f>D188&amp;" "&amp;E188</f>
        <v>สัญญา สุขแจ้งแสงทอง</v>
      </c>
      <c r="G188" s="1" t="s">
        <v>863</v>
      </c>
      <c r="H188" s="1" t="s">
        <v>864</v>
      </c>
      <c r="I188" s="1">
        <v>10416390</v>
      </c>
      <c r="J188" s="1" t="s">
        <v>45</v>
      </c>
      <c r="K188" s="2">
        <v>44287</v>
      </c>
      <c r="L188" s="1" t="s">
        <v>66</v>
      </c>
      <c r="M188" s="1" t="s">
        <v>48</v>
      </c>
      <c r="N188" s="1" t="s">
        <v>48</v>
      </c>
      <c r="O188" s="2">
        <v>44260</v>
      </c>
      <c r="P188" s="2">
        <v>44260</v>
      </c>
      <c r="Q188" s="1">
        <v>10358507</v>
      </c>
      <c r="R188" s="1" t="s">
        <v>840</v>
      </c>
      <c r="S188" s="3" t="s">
        <v>825</v>
      </c>
      <c r="T188" s="1" t="s">
        <v>52</v>
      </c>
      <c r="U188" s="1" t="s">
        <v>53</v>
      </c>
      <c r="V188" s="1" t="s">
        <v>54</v>
      </c>
      <c r="W188" s="1" t="s">
        <v>55</v>
      </c>
      <c r="X188" s="1">
        <v>1</v>
      </c>
      <c r="Y188" s="10" t="s">
        <v>604</v>
      </c>
      <c r="Z188" s="10"/>
      <c r="AA188" s="10"/>
      <c r="AB188" s="10" t="s">
        <v>831</v>
      </c>
      <c r="AC188" s="32" t="s">
        <v>102</v>
      </c>
      <c r="AD188" s="10"/>
      <c r="AE188" s="10"/>
      <c r="AF188" s="10" t="s">
        <v>77</v>
      </c>
      <c r="AG188" s="10"/>
      <c r="AH188" s="10"/>
    </row>
    <row r="189" spans="1:39" ht="14.25" customHeight="1">
      <c r="A189">
        <v>244</v>
      </c>
      <c r="B189" s="1">
        <v>10656584</v>
      </c>
      <c r="C189" s="1" t="s">
        <v>92</v>
      </c>
      <c r="D189" s="1" t="s">
        <v>865</v>
      </c>
      <c r="E189" s="1" t="s">
        <v>866</v>
      </c>
      <c r="F189" s="1" t="str">
        <f>D189&amp;" "&amp;E189</f>
        <v>สมชาย กุลเล็ก</v>
      </c>
      <c r="G189" s="1" t="s">
        <v>867</v>
      </c>
      <c r="H189" s="1" t="s">
        <v>868</v>
      </c>
      <c r="I189" s="1">
        <v>10656584</v>
      </c>
      <c r="J189" s="1" t="s">
        <v>45</v>
      </c>
      <c r="K189" s="1" t="s">
        <v>668</v>
      </c>
      <c r="L189" s="1" t="s">
        <v>66</v>
      </c>
      <c r="M189" s="1" t="s">
        <v>48</v>
      </c>
      <c r="N189" s="1" t="s">
        <v>48</v>
      </c>
      <c r="O189" s="1" t="s">
        <v>669</v>
      </c>
      <c r="P189" s="1" t="s">
        <v>669</v>
      </c>
      <c r="Q189" s="1">
        <v>10282294</v>
      </c>
      <c r="R189" s="1" t="s">
        <v>850</v>
      </c>
      <c r="S189" s="3" t="s">
        <v>825</v>
      </c>
      <c r="T189" s="1" t="s">
        <v>52</v>
      </c>
      <c r="U189" s="1" t="s">
        <v>53</v>
      </c>
      <c r="V189" s="1" t="s">
        <v>54</v>
      </c>
      <c r="W189" s="1" t="s">
        <v>55</v>
      </c>
      <c r="X189" s="1">
        <v>1</v>
      </c>
      <c r="Y189" s="10" t="s">
        <v>604</v>
      </c>
      <c r="Z189" s="10"/>
      <c r="AA189" s="10"/>
      <c r="AB189" s="10" t="s">
        <v>831</v>
      </c>
      <c r="AC189" s="32" t="s">
        <v>102</v>
      </c>
      <c r="AD189" s="10"/>
      <c r="AE189" s="10"/>
      <c r="AF189" s="10" t="s">
        <v>77</v>
      </c>
      <c r="AG189" s="10"/>
      <c r="AH189" s="10"/>
      <c r="AI189" s="24"/>
      <c r="AJ189" s="24"/>
    </row>
    <row r="190" spans="1:39" ht="14.25" customHeight="1">
      <c r="A190">
        <v>249</v>
      </c>
      <c r="B190" s="1">
        <v>10656667</v>
      </c>
      <c r="C190" s="1" t="s">
        <v>92</v>
      </c>
      <c r="D190" s="1" t="s">
        <v>869</v>
      </c>
      <c r="E190" s="1" t="s">
        <v>870</v>
      </c>
      <c r="F190" s="1" t="str">
        <f>D190&amp;" "&amp;E190</f>
        <v>ยอด ยิ่งจำเริญ</v>
      </c>
      <c r="G190" s="1" t="s">
        <v>871</v>
      </c>
      <c r="H190" s="1" t="s">
        <v>872</v>
      </c>
      <c r="I190" s="1">
        <v>10656667</v>
      </c>
      <c r="J190" s="1" t="s">
        <v>45</v>
      </c>
      <c r="K190" s="1" t="s">
        <v>668</v>
      </c>
      <c r="L190" s="1" t="s">
        <v>66</v>
      </c>
      <c r="M190" s="1" t="s">
        <v>48</v>
      </c>
      <c r="N190" s="1" t="s">
        <v>48</v>
      </c>
      <c r="O190" s="1" t="s">
        <v>669</v>
      </c>
      <c r="P190" s="1" t="s">
        <v>669</v>
      </c>
      <c r="Q190" s="1">
        <v>10358514</v>
      </c>
      <c r="R190" s="1" t="s">
        <v>706</v>
      </c>
      <c r="S190" s="3" t="s">
        <v>825</v>
      </c>
      <c r="T190" s="1" t="s">
        <v>52</v>
      </c>
      <c r="U190" s="1" t="s">
        <v>53</v>
      </c>
      <c r="V190" s="1" t="s">
        <v>54</v>
      </c>
      <c r="W190" s="1" t="s">
        <v>55</v>
      </c>
      <c r="X190" s="1">
        <v>1</v>
      </c>
      <c r="Y190" s="10" t="s">
        <v>604</v>
      </c>
      <c r="Z190" s="10"/>
      <c r="AA190" s="10"/>
      <c r="AB190" s="10" t="s">
        <v>831</v>
      </c>
      <c r="AC190" s="32" t="s">
        <v>102</v>
      </c>
      <c r="AD190" s="10"/>
      <c r="AE190" s="10"/>
      <c r="AF190" s="10" t="s">
        <v>77</v>
      </c>
      <c r="AG190" s="10"/>
      <c r="AH190" s="10"/>
    </row>
    <row r="191" spans="1:39" ht="14.25" customHeight="1">
      <c r="A191">
        <v>299</v>
      </c>
      <c r="B191" s="1">
        <v>10666744</v>
      </c>
      <c r="C191" s="1" t="s">
        <v>92</v>
      </c>
      <c r="D191" s="1" t="s">
        <v>873</v>
      </c>
      <c r="E191" s="1" t="s">
        <v>874</v>
      </c>
      <c r="F191" s="1" t="str">
        <f>D191&amp;" "&amp;E191</f>
        <v>ณรงค์ศักดิ์ เสมแก้ว</v>
      </c>
      <c r="G191" s="1" t="s">
        <v>875</v>
      </c>
      <c r="H191" s="1" t="s">
        <v>876</v>
      </c>
      <c r="I191" s="1">
        <v>10666744</v>
      </c>
      <c r="J191" s="1" t="s">
        <v>45</v>
      </c>
      <c r="K191" s="1" t="s">
        <v>877</v>
      </c>
      <c r="L191" s="1" t="s">
        <v>66</v>
      </c>
      <c r="M191" s="1" t="s">
        <v>48</v>
      </c>
      <c r="N191" s="1" t="s">
        <v>48</v>
      </c>
      <c r="O191" s="1" t="s">
        <v>878</v>
      </c>
      <c r="P191" s="1" t="s">
        <v>878</v>
      </c>
      <c r="Q191" s="1">
        <v>10405179</v>
      </c>
      <c r="R191" s="1" t="s">
        <v>879</v>
      </c>
      <c r="S191" s="3" t="s">
        <v>825</v>
      </c>
      <c r="T191" s="1" t="s">
        <v>52</v>
      </c>
      <c r="U191" s="1" t="s">
        <v>53</v>
      </c>
      <c r="V191" s="1" t="s">
        <v>54</v>
      </c>
      <c r="W191" s="1" t="s">
        <v>55</v>
      </c>
      <c r="X191" s="1">
        <v>1</v>
      </c>
      <c r="Y191" s="10" t="s">
        <v>604</v>
      </c>
      <c r="Z191" s="10"/>
      <c r="AA191" s="10"/>
      <c r="AB191" s="10" t="s">
        <v>831</v>
      </c>
      <c r="AC191" s="32" t="s">
        <v>102</v>
      </c>
      <c r="AD191" s="10"/>
      <c r="AE191" s="10"/>
      <c r="AF191" s="10" t="s">
        <v>77</v>
      </c>
      <c r="AG191" s="10"/>
      <c r="AH191" s="10"/>
    </row>
    <row r="192" spans="1:39" ht="14.25" customHeight="1">
      <c r="A192">
        <v>40</v>
      </c>
      <c r="B192" s="1">
        <v>10372085</v>
      </c>
      <c r="C192" s="1" t="s">
        <v>92</v>
      </c>
      <c r="D192" s="1" t="s">
        <v>880</v>
      </c>
      <c r="E192" s="1" t="s">
        <v>881</v>
      </c>
      <c r="F192" s="1" t="str">
        <f>D192&amp;" "&amp;E192</f>
        <v>ขวัญชัย โพธิ์ปิ่น</v>
      </c>
      <c r="G192" s="1" t="s">
        <v>882</v>
      </c>
      <c r="H192" s="1" t="s">
        <v>883</v>
      </c>
      <c r="I192" s="1" t="s">
        <v>884</v>
      </c>
      <c r="J192" s="1" t="s">
        <v>45</v>
      </c>
      <c r="K192" s="1" t="s">
        <v>885</v>
      </c>
      <c r="L192" s="1" t="s">
        <v>47</v>
      </c>
      <c r="M192" s="1" t="s">
        <v>48</v>
      </c>
      <c r="N192" s="1" t="s">
        <v>48</v>
      </c>
      <c r="O192" s="2">
        <v>43808</v>
      </c>
      <c r="P192" s="2">
        <v>43808</v>
      </c>
      <c r="Q192" s="1">
        <v>10358535</v>
      </c>
      <c r="R192" s="1" t="s">
        <v>830</v>
      </c>
      <c r="S192" s="3" t="s">
        <v>825</v>
      </c>
      <c r="T192" s="1" t="s">
        <v>52</v>
      </c>
      <c r="U192" s="1" t="s">
        <v>53</v>
      </c>
      <c r="V192" s="1" t="s">
        <v>54</v>
      </c>
      <c r="W192" s="1" t="s">
        <v>55</v>
      </c>
      <c r="X192" s="1">
        <v>1</v>
      </c>
      <c r="Y192" s="10" t="s">
        <v>604</v>
      </c>
      <c r="Z192" s="10"/>
      <c r="AA192" s="10"/>
      <c r="AB192" s="10" t="s">
        <v>831</v>
      </c>
      <c r="AC192" s="32" t="s">
        <v>102</v>
      </c>
      <c r="AD192" s="10"/>
      <c r="AE192" s="10"/>
      <c r="AF192" s="10" t="s">
        <v>77</v>
      </c>
      <c r="AG192" s="10"/>
      <c r="AH192" s="10"/>
    </row>
    <row r="193" spans="1:39" ht="14.25" customHeight="1">
      <c r="A193">
        <v>175</v>
      </c>
      <c r="B193" s="1">
        <v>10604126</v>
      </c>
      <c r="C193" s="1" t="s">
        <v>415</v>
      </c>
      <c r="D193" s="1" t="s">
        <v>886</v>
      </c>
      <c r="E193" s="1" t="s">
        <v>887</v>
      </c>
      <c r="F193" s="1" t="str">
        <f>D193&amp;" "&amp;E193</f>
        <v>UOCH NOV</v>
      </c>
      <c r="G193" s="1" t="s">
        <v>886</v>
      </c>
      <c r="H193" s="1" t="s">
        <v>887</v>
      </c>
      <c r="I193" s="1">
        <v>10604126</v>
      </c>
      <c r="J193" s="1" t="s">
        <v>45</v>
      </c>
      <c r="K193" s="2">
        <v>45569</v>
      </c>
      <c r="L193" s="1" t="s">
        <v>66</v>
      </c>
      <c r="M193" s="1" t="s">
        <v>48</v>
      </c>
      <c r="N193" s="1" t="s">
        <v>48</v>
      </c>
      <c r="O193" s="2">
        <v>45481</v>
      </c>
      <c r="P193" s="2">
        <v>45481</v>
      </c>
      <c r="Q193" s="1">
        <v>10405177</v>
      </c>
      <c r="R193" s="1" t="s">
        <v>888</v>
      </c>
      <c r="S193" s="3" t="s">
        <v>825</v>
      </c>
      <c r="T193" s="1" t="s">
        <v>52</v>
      </c>
      <c r="U193" s="1" t="s">
        <v>53</v>
      </c>
      <c r="V193" s="1" t="s">
        <v>54</v>
      </c>
      <c r="W193" s="1" t="s">
        <v>418</v>
      </c>
      <c r="X193" s="1">
        <v>1</v>
      </c>
      <c r="Y193" s="10" t="s">
        <v>604</v>
      </c>
      <c r="Z193" s="10"/>
      <c r="AA193" s="10"/>
      <c r="AB193" s="10" t="s">
        <v>831</v>
      </c>
      <c r="AC193" s="32" t="s">
        <v>102</v>
      </c>
      <c r="AD193" s="10"/>
      <c r="AE193" s="10"/>
      <c r="AF193" s="10" t="s">
        <v>77</v>
      </c>
      <c r="AG193" s="10"/>
      <c r="AH193" s="10"/>
    </row>
    <row r="194" spans="1:39" ht="14.25" customHeight="1">
      <c r="A194">
        <v>172</v>
      </c>
      <c r="B194" s="1">
        <v>10604110</v>
      </c>
      <c r="C194" s="1" t="s">
        <v>415</v>
      </c>
      <c r="D194" s="1" t="s">
        <v>889</v>
      </c>
      <c r="E194" s="1" t="s">
        <v>890</v>
      </c>
      <c r="F194" s="1" t="str">
        <f>D194&amp;" "&amp;E194</f>
        <v>RIN HUY</v>
      </c>
      <c r="G194" s="1" t="s">
        <v>889</v>
      </c>
      <c r="H194" s="1" t="s">
        <v>890</v>
      </c>
      <c r="I194" s="1">
        <v>10604110</v>
      </c>
      <c r="J194" s="1" t="s">
        <v>45</v>
      </c>
      <c r="K194" s="2">
        <v>45569</v>
      </c>
      <c r="L194" s="1" t="s">
        <v>66</v>
      </c>
      <c r="M194" s="1" t="s">
        <v>48</v>
      </c>
      <c r="N194" s="1" t="s">
        <v>48</v>
      </c>
      <c r="O194" s="2">
        <v>45481</v>
      </c>
      <c r="P194" s="2">
        <v>45481</v>
      </c>
      <c r="Q194" s="1">
        <v>10405179</v>
      </c>
      <c r="R194" s="1" t="s">
        <v>879</v>
      </c>
      <c r="S194" s="3" t="s">
        <v>825</v>
      </c>
      <c r="T194" s="1" t="s">
        <v>52</v>
      </c>
      <c r="U194" s="1" t="s">
        <v>53</v>
      </c>
      <c r="V194" s="1" t="s">
        <v>54</v>
      </c>
      <c r="W194" s="1" t="s">
        <v>418</v>
      </c>
      <c r="X194" s="1">
        <v>1</v>
      </c>
      <c r="Y194" s="10" t="s">
        <v>604</v>
      </c>
      <c r="Z194" s="10"/>
      <c r="AA194" s="10"/>
      <c r="AB194" s="10" t="s">
        <v>831</v>
      </c>
      <c r="AC194" s="32" t="s">
        <v>102</v>
      </c>
      <c r="AD194" s="10"/>
      <c r="AE194" s="10"/>
      <c r="AF194" s="10" t="s">
        <v>77</v>
      </c>
      <c r="AG194" s="10"/>
      <c r="AH194" s="10"/>
    </row>
    <row r="195" spans="1:39" ht="14.25" customHeight="1">
      <c r="A195">
        <v>419</v>
      </c>
      <c r="B195" s="1">
        <v>10691688</v>
      </c>
      <c r="C195" s="1" t="s">
        <v>415</v>
      </c>
      <c r="D195" s="1" t="s">
        <v>891</v>
      </c>
      <c r="E195" s="1" t="s">
        <v>631</v>
      </c>
      <c r="F195" s="1" t="str">
        <f>D195&amp;" "&amp;E195</f>
        <v>MG KO KO -</v>
      </c>
      <c r="G195" s="1" t="s">
        <v>891</v>
      </c>
      <c r="H195" s="1" t="s">
        <v>631</v>
      </c>
      <c r="I195" s="1">
        <v>10691688</v>
      </c>
      <c r="J195" s="1" t="s">
        <v>45</v>
      </c>
      <c r="K195" s="2">
        <v>46026</v>
      </c>
      <c r="L195" s="1" t="s">
        <v>66</v>
      </c>
      <c r="M195" s="1" t="s">
        <v>48</v>
      </c>
      <c r="N195" s="1" t="s">
        <v>98</v>
      </c>
      <c r="O195" s="1" t="s">
        <v>466</v>
      </c>
      <c r="P195" s="1" t="s">
        <v>100</v>
      </c>
      <c r="Q195" s="1">
        <v>10358514</v>
      </c>
      <c r="R195" s="1" t="s">
        <v>706</v>
      </c>
      <c r="S195" s="3" t="s">
        <v>825</v>
      </c>
      <c r="T195" s="1" t="s">
        <v>52</v>
      </c>
      <c r="U195" s="1" t="s">
        <v>53</v>
      </c>
      <c r="V195" s="1" t="s">
        <v>54</v>
      </c>
      <c r="W195" s="1" t="s">
        <v>632</v>
      </c>
      <c r="X195" s="1">
        <v>1</v>
      </c>
      <c r="Y195" s="10" t="s">
        <v>604</v>
      </c>
      <c r="Z195" s="10"/>
      <c r="AA195" s="10"/>
      <c r="AB195" s="10" t="s">
        <v>831</v>
      </c>
      <c r="AC195" s="32" t="s">
        <v>102</v>
      </c>
      <c r="AF195" s="10" t="s">
        <v>77</v>
      </c>
      <c r="AG195" s="10"/>
      <c r="AH195" s="10"/>
    </row>
    <row r="196" spans="1:39" ht="14.25" customHeight="1">
      <c r="A196">
        <v>157</v>
      </c>
      <c r="B196" s="1">
        <v>10575443</v>
      </c>
      <c r="C196" s="1" t="s">
        <v>415</v>
      </c>
      <c r="D196" s="1" t="s">
        <v>742</v>
      </c>
      <c r="E196" s="1" t="s">
        <v>892</v>
      </c>
      <c r="F196" s="1" t="str">
        <f>D196&amp;" "&amp;E196</f>
        <v>LOUCH VON</v>
      </c>
      <c r="G196" s="1" t="s">
        <v>742</v>
      </c>
      <c r="H196" s="1" t="s">
        <v>892</v>
      </c>
      <c r="I196" s="1">
        <v>10575443</v>
      </c>
      <c r="J196" s="1" t="s">
        <v>45</v>
      </c>
      <c r="K196" s="2">
        <v>44937</v>
      </c>
      <c r="L196" s="1" t="s">
        <v>66</v>
      </c>
      <c r="M196" s="1" t="s">
        <v>48</v>
      </c>
      <c r="N196" s="1" t="s">
        <v>48</v>
      </c>
      <c r="O196" s="1" t="s">
        <v>893</v>
      </c>
      <c r="P196" s="1" t="s">
        <v>893</v>
      </c>
      <c r="Q196" s="1">
        <v>10358509</v>
      </c>
      <c r="R196" s="1" t="s">
        <v>894</v>
      </c>
      <c r="S196" s="3" t="s">
        <v>825</v>
      </c>
      <c r="T196" s="1" t="s">
        <v>52</v>
      </c>
      <c r="U196" s="1" t="s">
        <v>53</v>
      </c>
      <c r="V196" s="1" t="s">
        <v>54</v>
      </c>
      <c r="W196" s="1" t="s">
        <v>418</v>
      </c>
      <c r="X196" s="1">
        <v>1</v>
      </c>
      <c r="Y196" s="10" t="s">
        <v>604</v>
      </c>
      <c r="Z196" s="10"/>
      <c r="AA196" s="10"/>
      <c r="AB196" s="10" t="s">
        <v>831</v>
      </c>
      <c r="AC196" s="32" t="s">
        <v>102</v>
      </c>
      <c r="AD196" s="10"/>
      <c r="AE196" s="10"/>
      <c r="AF196" s="10" t="s">
        <v>77</v>
      </c>
      <c r="AG196" s="10"/>
      <c r="AH196" s="10"/>
    </row>
    <row r="197" spans="1:39" ht="14.25" customHeight="1">
      <c r="A197">
        <v>144</v>
      </c>
      <c r="B197" s="1">
        <v>10560590</v>
      </c>
      <c r="C197" s="1" t="s">
        <v>415</v>
      </c>
      <c r="D197" s="1" t="s">
        <v>895</v>
      </c>
      <c r="E197" s="1" t="s">
        <v>896</v>
      </c>
      <c r="F197" s="1" t="str">
        <f>D197&amp;" "&amp;E197</f>
        <v>CHAMNIT NAI</v>
      </c>
      <c r="G197" s="1" t="s">
        <v>895</v>
      </c>
      <c r="H197" s="1" t="s">
        <v>896</v>
      </c>
      <c r="I197" s="1">
        <v>10560590</v>
      </c>
      <c r="J197" s="1" t="s">
        <v>45</v>
      </c>
      <c r="K197" s="1" t="s">
        <v>765</v>
      </c>
      <c r="L197" s="1" t="s">
        <v>66</v>
      </c>
      <c r="M197" s="1" t="s">
        <v>48</v>
      </c>
      <c r="N197" s="1" t="s">
        <v>48</v>
      </c>
      <c r="O197" s="1" t="s">
        <v>766</v>
      </c>
      <c r="P197" s="1" t="s">
        <v>766</v>
      </c>
      <c r="Q197" s="1">
        <v>10358507</v>
      </c>
      <c r="R197" s="1" t="s">
        <v>840</v>
      </c>
      <c r="S197" s="3" t="s">
        <v>825</v>
      </c>
      <c r="T197" s="1" t="s">
        <v>52</v>
      </c>
      <c r="U197" s="1" t="s">
        <v>53</v>
      </c>
      <c r="V197" s="1" t="s">
        <v>54</v>
      </c>
      <c r="W197" s="1" t="s">
        <v>418</v>
      </c>
      <c r="X197" s="1">
        <v>1</v>
      </c>
      <c r="Y197" s="10" t="s">
        <v>604</v>
      </c>
      <c r="Z197" s="10"/>
      <c r="AA197" s="10"/>
      <c r="AB197" s="10" t="s">
        <v>831</v>
      </c>
      <c r="AC197" s="32" t="s">
        <v>102</v>
      </c>
      <c r="AD197" s="10"/>
      <c r="AE197" s="10"/>
      <c r="AF197" s="10" t="s">
        <v>77</v>
      </c>
      <c r="AG197" s="10"/>
      <c r="AH197" s="10"/>
    </row>
    <row r="198" spans="1:39" ht="14.25" customHeight="1">
      <c r="A198">
        <v>417</v>
      </c>
      <c r="B198" s="1">
        <v>10691686</v>
      </c>
      <c r="C198" s="1" t="s">
        <v>415</v>
      </c>
      <c r="D198" s="1" t="s">
        <v>897</v>
      </c>
      <c r="E198" s="1" t="s">
        <v>631</v>
      </c>
      <c r="F198" s="1" t="str">
        <f>D198&amp;" "&amp;E198</f>
        <v>AYAR AUNG -</v>
      </c>
      <c r="G198" s="1" t="s">
        <v>897</v>
      </c>
      <c r="H198" s="1" t="s">
        <v>631</v>
      </c>
      <c r="I198" s="1">
        <v>10691686</v>
      </c>
      <c r="J198" s="1" t="s">
        <v>45</v>
      </c>
      <c r="K198" s="2">
        <v>46026</v>
      </c>
      <c r="L198" s="1" t="s">
        <v>66</v>
      </c>
      <c r="M198" s="1" t="s">
        <v>48</v>
      </c>
      <c r="N198" s="1" t="s">
        <v>98</v>
      </c>
      <c r="O198" s="1" t="s">
        <v>466</v>
      </c>
      <c r="P198" s="1" t="s">
        <v>100</v>
      </c>
      <c r="Q198" s="1">
        <v>10358514</v>
      </c>
      <c r="R198" s="1" t="s">
        <v>706</v>
      </c>
      <c r="S198" s="3" t="s">
        <v>825</v>
      </c>
      <c r="T198" s="1" t="s">
        <v>52</v>
      </c>
      <c r="U198" s="1" t="s">
        <v>53</v>
      </c>
      <c r="V198" s="1" t="s">
        <v>54</v>
      </c>
      <c r="W198" s="1" t="s">
        <v>632</v>
      </c>
      <c r="X198" s="1">
        <v>1</v>
      </c>
      <c r="Y198" s="10" t="s">
        <v>604</v>
      </c>
      <c r="Z198" s="10"/>
      <c r="AA198" s="10"/>
      <c r="AB198" s="10" t="s">
        <v>831</v>
      </c>
      <c r="AC198" s="32" t="s">
        <v>102</v>
      </c>
      <c r="AD198" s="10"/>
      <c r="AE198" s="10"/>
      <c r="AF198" s="10" t="s">
        <v>77</v>
      </c>
      <c r="AG198" s="10"/>
      <c r="AH198" s="10"/>
    </row>
    <row r="199" spans="1:39" ht="14.25" customHeight="1">
      <c r="A199">
        <v>5</v>
      </c>
      <c r="B199" s="1">
        <v>10191216</v>
      </c>
      <c r="C199" s="1" t="s">
        <v>92</v>
      </c>
      <c r="D199" s="1" t="s">
        <v>898</v>
      </c>
      <c r="E199" s="1" t="s">
        <v>899</v>
      </c>
      <c r="F199" s="1" t="str">
        <f>D199&amp;" "&amp;E199</f>
        <v>ศตวรรษ ต๊ะปวก</v>
      </c>
      <c r="G199" s="1" t="s">
        <v>900</v>
      </c>
      <c r="H199" s="1" t="s">
        <v>901</v>
      </c>
      <c r="I199" s="1" t="s">
        <v>902</v>
      </c>
      <c r="J199" s="1" t="s">
        <v>45</v>
      </c>
      <c r="K199" s="2">
        <v>41279</v>
      </c>
      <c r="L199" s="1" t="s">
        <v>47</v>
      </c>
      <c r="M199" s="1" t="s">
        <v>48</v>
      </c>
      <c r="N199" s="1" t="s">
        <v>48</v>
      </c>
      <c r="O199" s="1" t="s">
        <v>903</v>
      </c>
      <c r="P199" s="1" t="s">
        <v>903</v>
      </c>
      <c r="Q199" s="1">
        <v>10318635</v>
      </c>
      <c r="R199" s="1" t="s">
        <v>904</v>
      </c>
      <c r="S199" s="3" t="s">
        <v>825</v>
      </c>
      <c r="T199" s="1" t="s">
        <v>52</v>
      </c>
      <c r="U199" s="1" t="s">
        <v>53</v>
      </c>
      <c r="V199" s="1" t="s">
        <v>54</v>
      </c>
      <c r="W199" s="1" t="s">
        <v>55</v>
      </c>
      <c r="X199" s="1">
        <v>1</v>
      </c>
      <c r="Y199" s="10" t="s">
        <v>604</v>
      </c>
      <c r="Z199" s="10"/>
      <c r="AA199" s="10"/>
      <c r="AB199" s="10" t="s">
        <v>381</v>
      </c>
      <c r="AC199" s="32"/>
      <c r="AD199" s="10"/>
      <c r="AE199" s="10"/>
      <c r="AF199" s="43" t="s">
        <v>381</v>
      </c>
      <c r="AG199" s="10"/>
      <c r="AH199" s="10"/>
    </row>
    <row r="200" spans="1:39" ht="14.25" customHeight="1">
      <c r="A200">
        <v>294</v>
      </c>
      <c r="B200" s="1">
        <v>10664185</v>
      </c>
      <c r="C200" s="1" t="s">
        <v>92</v>
      </c>
      <c r="D200" s="1" t="s">
        <v>905</v>
      </c>
      <c r="E200" s="1" t="s">
        <v>906</v>
      </c>
      <c r="F200" s="1" t="str">
        <f>D200&amp;" "&amp;E200</f>
        <v>อณุเดช สองใหม่</v>
      </c>
      <c r="G200" s="1" t="s">
        <v>907</v>
      </c>
      <c r="H200" s="1" t="s">
        <v>908</v>
      </c>
      <c r="I200" s="1">
        <v>10664185</v>
      </c>
      <c r="J200" s="1" t="s">
        <v>45</v>
      </c>
      <c r="K200" s="2">
        <v>45878</v>
      </c>
      <c r="L200" s="1" t="s">
        <v>66</v>
      </c>
      <c r="M200" s="1" t="s">
        <v>48</v>
      </c>
      <c r="N200" s="1" t="s">
        <v>48</v>
      </c>
      <c r="O200" s="2">
        <v>46143</v>
      </c>
      <c r="P200" s="2">
        <v>46143</v>
      </c>
      <c r="Q200" s="1">
        <v>10405177</v>
      </c>
      <c r="R200" s="1" t="s">
        <v>888</v>
      </c>
      <c r="S200" s="3" t="s">
        <v>825</v>
      </c>
      <c r="T200" s="1" t="s">
        <v>52</v>
      </c>
      <c r="U200" s="1" t="s">
        <v>53</v>
      </c>
      <c r="V200" s="1" t="s">
        <v>54</v>
      </c>
      <c r="W200" s="1" t="s">
        <v>55</v>
      </c>
      <c r="X200" s="1">
        <v>1</v>
      </c>
      <c r="Y200" s="10" t="s">
        <v>604</v>
      </c>
      <c r="Z200" s="10"/>
      <c r="AA200" s="10"/>
      <c r="AB200" s="10"/>
      <c r="AC200" s="32"/>
      <c r="AD200" s="10"/>
      <c r="AE200" s="10"/>
      <c r="AF200" s="10"/>
      <c r="AG200" s="10"/>
      <c r="AH200" s="10"/>
    </row>
    <row r="201" spans="1:39" ht="14.25" customHeight="1">
      <c r="A201">
        <v>7</v>
      </c>
      <c r="B201" s="1">
        <v>10249292</v>
      </c>
      <c r="C201" s="1" t="s">
        <v>39</v>
      </c>
      <c r="D201" s="1" t="s">
        <v>909</v>
      </c>
      <c r="E201" s="1" t="s">
        <v>910</v>
      </c>
      <c r="F201" s="1" t="str">
        <f>D201&amp;" "&amp;E201</f>
        <v>นปภา แซ่เลี้ยว</v>
      </c>
      <c r="G201" s="1" t="s">
        <v>911</v>
      </c>
      <c r="H201" s="1" t="s">
        <v>912</v>
      </c>
      <c r="I201" s="1" t="s">
        <v>913</v>
      </c>
      <c r="J201" s="1" t="s">
        <v>45</v>
      </c>
      <c r="K201" s="1" t="s">
        <v>914</v>
      </c>
      <c r="L201" s="1" t="s">
        <v>47</v>
      </c>
      <c r="M201" s="1" t="s">
        <v>48</v>
      </c>
      <c r="N201" s="1" t="s">
        <v>48</v>
      </c>
      <c r="O201" s="1" t="s">
        <v>915</v>
      </c>
      <c r="P201" s="1" t="s">
        <v>915</v>
      </c>
      <c r="Q201" s="1">
        <v>10318321</v>
      </c>
      <c r="R201" s="1" t="s">
        <v>916</v>
      </c>
      <c r="S201" s="3" t="s">
        <v>825</v>
      </c>
      <c r="T201" s="1" t="s">
        <v>52</v>
      </c>
      <c r="U201" s="1" t="s">
        <v>53</v>
      </c>
      <c r="V201" s="1" t="s">
        <v>54</v>
      </c>
      <c r="W201" s="1" t="s">
        <v>55</v>
      </c>
      <c r="X201" s="1">
        <v>1</v>
      </c>
      <c r="Y201" s="10" t="s">
        <v>604</v>
      </c>
      <c r="Z201" s="10"/>
      <c r="AA201" s="10"/>
      <c r="AB201" s="10"/>
      <c r="AC201" s="32"/>
      <c r="AD201" s="10"/>
      <c r="AE201" s="10"/>
      <c r="AF201" s="10"/>
      <c r="AG201" s="10"/>
      <c r="AH201" s="10"/>
    </row>
    <row r="202" spans="1:39" ht="14.25" customHeight="1">
      <c r="A202">
        <v>300</v>
      </c>
      <c r="B202" s="1">
        <v>10666754</v>
      </c>
      <c r="C202" s="1" t="s">
        <v>39</v>
      </c>
      <c r="D202" s="1" t="s">
        <v>917</v>
      </c>
      <c r="E202" s="1" t="s">
        <v>918</v>
      </c>
      <c r="F202" s="1" t="str">
        <f>D202&amp;" "&amp;E202</f>
        <v>นิตยา มีมานะ</v>
      </c>
      <c r="G202" s="1" t="s">
        <v>919</v>
      </c>
      <c r="H202" s="1" t="s">
        <v>920</v>
      </c>
      <c r="I202" s="1">
        <v>10666754</v>
      </c>
      <c r="J202" s="1" t="s">
        <v>45</v>
      </c>
      <c r="K202" s="1" t="s">
        <v>877</v>
      </c>
      <c r="L202" s="1" t="s">
        <v>66</v>
      </c>
      <c r="M202" s="1" t="s">
        <v>48</v>
      </c>
      <c r="N202" s="1" t="s">
        <v>48</v>
      </c>
      <c r="O202" s="1" t="s">
        <v>878</v>
      </c>
      <c r="P202" s="1" t="s">
        <v>878</v>
      </c>
      <c r="Q202" s="1">
        <v>10358591</v>
      </c>
      <c r="R202" s="1" t="s">
        <v>921</v>
      </c>
      <c r="S202" s="3" t="s">
        <v>922</v>
      </c>
      <c r="T202" s="1" t="s">
        <v>52</v>
      </c>
      <c r="U202" s="1" t="s">
        <v>53</v>
      </c>
      <c r="V202" s="1" t="s">
        <v>54</v>
      </c>
      <c r="W202" s="1" t="s">
        <v>55</v>
      </c>
      <c r="X202" s="1">
        <v>1</v>
      </c>
      <c r="Y202" s="10" t="s">
        <v>923</v>
      </c>
      <c r="Z202" s="10" t="str">
        <f>_xlfn.XLOOKUP(B202,skill_metrix!A:A,skill_metrix!C:C,0)</f>
        <v>สามชั้น(พิเศษ)</v>
      </c>
      <c r="AA202" s="10"/>
      <c r="AB202" s="10" t="s">
        <v>605</v>
      </c>
      <c r="AC202" s="32" t="s">
        <v>102</v>
      </c>
      <c r="AD202" s="10"/>
      <c r="AE202" s="10"/>
      <c r="AF202" s="10" t="s">
        <v>59</v>
      </c>
      <c r="AG202" s="10"/>
      <c r="AH202" s="10"/>
      <c r="AI202" s="24">
        <v>0.33333333333333331</v>
      </c>
      <c r="AJ202" s="24">
        <v>0.70833333333333337</v>
      </c>
    </row>
    <row r="203" spans="1:39" ht="14.25" customHeight="1">
      <c r="A203">
        <v>253</v>
      </c>
      <c r="B203" s="1">
        <v>10658094</v>
      </c>
      <c r="C203" s="1" t="s">
        <v>39</v>
      </c>
      <c r="D203" s="1" t="s">
        <v>924</v>
      </c>
      <c r="E203" s="1" t="s">
        <v>925</v>
      </c>
      <c r="F203" s="1" t="str">
        <f>D203&amp;" "&amp;E203</f>
        <v>นัสฐา จันทราศรี</v>
      </c>
      <c r="G203" s="1" t="s">
        <v>926</v>
      </c>
      <c r="H203" s="1" t="s">
        <v>927</v>
      </c>
      <c r="I203" s="1">
        <v>10658094</v>
      </c>
      <c r="J203" s="1" t="s">
        <v>45</v>
      </c>
      <c r="K203" s="2">
        <v>45665</v>
      </c>
      <c r="L203" s="1" t="s">
        <v>66</v>
      </c>
      <c r="M203" s="1" t="s">
        <v>48</v>
      </c>
      <c r="N203" s="1" t="s">
        <v>48</v>
      </c>
      <c r="O203" s="1" t="s">
        <v>107</v>
      </c>
      <c r="P203" s="1" t="s">
        <v>107</v>
      </c>
      <c r="Q203" s="1">
        <v>10358591</v>
      </c>
      <c r="R203" s="1" t="s">
        <v>921</v>
      </c>
      <c r="S203" s="3" t="s">
        <v>922</v>
      </c>
      <c r="T203" s="1" t="s">
        <v>52</v>
      </c>
      <c r="U203" s="1" t="s">
        <v>53</v>
      </c>
      <c r="V203" s="1" t="s">
        <v>54</v>
      </c>
      <c r="W203" s="1" t="s">
        <v>55</v>
      </c>
      <c r="X203" s="1">
        <v>1</v>
      </c>
      <c r="Y203" s="10" t="s">
        <v>923</v>
      </c>
      <c r="Z203" s="10" t="str">
        <f>_xlfn.XLOOKUP(B203,skill_metrix!A:A,skill_metrix!C:C,0)</f>
        <v>สามชั้น(พิเศษ)</v>
      </c>
      <c r="AA203" s="10"/>
      <c r="AB203" s="10" t="s">
        <v>684</v>
      </c>
      <c r="AC203" s="32" t="s">
        <v>102</v>
      </c>
      <c r="AD203" s="10"/>
      <c r="AE203" s="10"/>
      <c r="AF203" s="10" t="s">
        <v>59</v>
      </c>
      <c r="AG203" s="10"/>
      <c r="AH203" s="10"/>
      <c r="AI203" s="24">
        <v>0.33333333333333331</v>
      </c>
      <c r="AJ203" s="24">
        <v>0.70833333333333337</v>
      </c>
    </row>
    <row r="204" spans="1:39" ht="14.25" customHeight="1">
      <c r="A204">
        <v>275</v>
      </c>
      <c r="B204" s="1">
        <v>10660114</v>
      </c>
      <c r="C204" s="1" t="s">
        <v>92</v>
      </c>
      <c r="D204" s="1" t="s">
        <v>928</v>
      </c>
      <c r="E204" s="1" t="s">
        <v>929</v>
      </c>
      <c r="F204" s="1" t="str">
        <f>D204&amp;" "&amp;E204</f>
        <v>ปราโมทย์ คมขำ</v>
      </c>
      <c r="G204" s="1" t="s">
        <v>930</v>
      </c>
      <c r="H204" s="1" t="s">
        <v>931</v>
      </c>
      <c r="I204" s="1">
        <v>10660114</v>
      </c>
      <c r="J204" s="1" t="s">
        <v>45</v>
      </c>
      <c r="K204" s="1" t="s">
        <v>932</v>
      </c>
      <c r="L204" s="1" t="s">
        <v>66</v>
      </c>
      <c r="M204" s="1" t="s">
        <v>48</v>
      </c>
      <c r="N204" s="1" t="s">
        <v>48</v>
      </c>
      <c r="O204" s="1" t="s">
        <v>933</v>
      </c>
      <c r="P204" s="1" t="s">
        <v>933</v>
      </c>
      <c r="Q204" s="1">
        <v>10358591</v>
      </c>
      <c r="R204" s="1" t="s">
        <v>921</v>
      </c>
      <c r="S204" s="3" t="s">
        <v>922</v>
      </c>
      <c r="T204" s="1" t="s">
        <v>52</v>
      </c>
      <c r="U204" s="1" t="s">
        <v>53</v>
      </c>
      <c r="V204" s="1" t="s">
        <v>54</v>
      </c>
      <c r="W204" s="1" t="s">
        <v>55</v>
      </c>
      <c r="X204" s="1">
        <v>1</v>
      </c>
      <c r="Y204" s="10" t="s">
        <v>923</v>
      </c>
      <c r="Z204" s="10" t="str">
        <f>_xlfn.XLOOKUP(B204,skill_metrix!A:A,skill_metrix!C:C,0)</f>
        <v>สะโพก(พิเศษ)</v>
      </c>
      <c r="AA204" s="10"/>
      <c r="AB204" s="10" t="s">
        <v>934</v>
      </c>
      <c r="AC204" s="32" t="s">
        <v>138</v>
      </c>
      <c r="AD204" s="10"/>
      <c r="AE204" s="10"/>
      <c r="AF204" s="10"/>
      <c r="AG204" s="10"/>
      <c r="AH204" s="10"/>
      <c r="AI204" s="24">
        <v>0.33333333333333331</v>
      </c>
      <c r="AJ204" s="24">
        <v>0.70833333333333337</v>
      </c>
    </row>
    <row r="205" spans="1:39" ht="14.25" customHeight="1">
      <c r="A205">
        <v>334</v>
      </c>
      <c r="B205" s="1">
        <v>10668274</v>
      </c>
      <c r="C205" s="1" t="s">
        <v>415</v>
      </c>
      <c r="D205" s="1" t="s">
        <v>935</v>
      </c>
      <c r="E205" s="1" t="s">
        <v>631</v>
      </c>
      <c r="F205" s="1" t="str">
        <f>D205&amp;" "&amp;E205</f>
        <v>ZAW MYO AUNG -</v>
      </c>
      <c r="G205" s="1" t="s">
        <v>935</v>
      </c>
      <c r="H205" s="1" t="s">
        <v>631</v>
      </c>
      <c r="I205" s="1">
        <v>10668274</v>
      </c>
      <c r="J205" s="1" t="s">
        <v>45</v>
      </c>
      <c r="K205" s="2">
        <v>45667</v>
      </c>
      <c r="L205" s="1" t="s">
        <v>66</v>
      </c>
      <c r="M205" s="1" t="s">
        <v>48</v>
      </c>
      <c r="N205" s="1" t="s">
        <v>48</v>
      </c>
      <c r="O205" s="1" t="s">
        <v>936</v>
      </c>
      <c r="P205" s="1" t="s">
        <v>936</v>
      </c>
      <c r="Q205" s="1">
        <v>10358597</v>
      </c>
      <c r="R205" s="1" t="s">
        <v>937</v>
      </c>
      <c r="S205" s="3" t="s">
        <v>922</v>
      </c>
      <c r="T205" s="1" t="s">
        <v>52</v>
      </c>
      <c r="U205" s="1" t="s">
        <v>53</v>
      </c>
      <c r="V205" s="1" t="s">
        <v>54</v>
      </c>
      <c r="W205" s="1" t="s">
        <v>632</v>
      </c>
      <c r="X205" s="1">
        <v>0</v>
      </c>
      <c r="Y205" s="10" t="s">
        <v>923</v>
      </c>
      <c r="Z205" s="10">
        <f>_xlfn.XLOOKUP(B205,skill_metrix!A:A,skill_metrix!C:C,0)</f>
        <v>0</v>
      </c>
      <c r="AA205" s="10"/>
      <c r="AB205" s="10" t="s">
        <v>745</v>
      </c>
      <c r="AC205" s="32" t="s">
        <v>102</v>
      </c>
      <c r="AD205" s="10"/>
      <c r="AE205" s="10"/>
      <c r="AF205" s="10" t="s">
        <v>77</v>
      </c>
      <c r="AG205" s="10"/>
      <c r="AH205" s="10"/>
      <c r="AL205" s="24">
        <v>0.66666666666666663</v>
      </c>
      <c r="AM205" s="24">
        <v>4.1666666666666664E-2</v>
      </c>
    </row>
    <row r="206" spans="1:39" ht="14.25" customHeight="1">
      <c r="A206">
        <v>106</v>
      </c>
      <c r="B206" s="1">
        <v>10511854</v>
      </c>
      <c r="C206" s="1" t="s">
        <v>39</v>
      </c>
      <c r="D206" s="1" t="s">
        <v>938</v>
      </c>
      <c r="E206" s="1" t="s">
        <v>939</v>
      </c>
      <c r="F206" s="1" t="str">
        <f>D206&amp;" "&amp;E206</f>
        <v>อรญา ญามาตย์</v>
      </c>
      <c r="G206" s="1" t="s">
        <v>940</v>
      </c>
      <c r="H206" s="1" t="s">
        <v>941</v>
      </c>
      <c r="I206" s="1">
        <v>10511854</v>
      </c>
      <c r="J206" s="1" t="s">
        <v>45</v>
      </c>
      <c r="K206" s="1" t="s">
        <v>942</v>
      </c>
      <c r="L206" s="1" t="s">
        <v>66</v>
      </c>
      <c r="M206" s="1" t="s">
        <v>48</v>
      </c>
      <c r="N206" s="1" t="s">
        <v>48</v>
      </c>
      <c r="O206" s="1" t="s">
        <v>943</v>
      </c>
      <c r="P206" s="1" t="s">
        <v>943</v>
      </c>
      <c r="Q206" s="1">
        <v>10358629</v>
      </c>
      <c r="R206" s="1" t="s">
        <v>944</v>
      </c>
      <c r="S206" s="3" t="s">
        <v>922</v>
      </c>
      <c r="T206" s="1" t="s">
        <v>52</v>
      </c>
      <c r="U206" s="1" t="s">
        <v>53</v>
      </c>
      <c r="V206" s="1" t="s">
        <v>54</v>
      </c>
      <c r="W206" s="1" t="s">
        <v>55</v>
      </c>
      <c r="X206" s="1">
        <v>1</v>
      </c>
      <c r="Y206" s="10" t="s">
        <v>923</v>
      </c>
      <c r="Z206" s="10">
        <f>_xlfn.XLOOKUP(B206,skill_metrix!A:A,skill_metrix!C:C,0)</f>
        <v>0</v>
      </c>
      <c r="AA206" s="10"/>
      <c r="AB206" s="10" t="s">
        <v>945</v>
      </c>
      <c r="AC206" s="32" t="s">
        <v>76</v>
      </c>
      <c r="AD206" s="10"/>
      <c r="AE206" s="10"/>
      <c r="AF206" s="10"/>
      <c r="AG206" s="10"/>
      <c r="AH206" s="10"/>
    </row>
    <row r="207" spans="1:39" ht="14.25" customHeight="1">
      <c r="A207">
        <v>251</v>
      </c>
      <c r="B207" s="1">
        <v>10656683</v>
      </c>
      <c r="C207" s="1" t="s">
        <v>92</v>
      </c>
      <c r="D207" s="1" t="s">
        <v>946</v>
      </c>
      <c r="E207" s="1" t="s">
        <v>947</v>
      </c>
      <c r="F207" s="1" t="str">
        <f>D207&amp;" "&amp;E207</f>
        <v>สันติศักดิ์ จุ้ยมณี</v>
      </c>
      <c r="G207" s="1" t="s">
        <v>948</v>
      </c>
      <c r="H207" s="1" t="s">
        <v>949</v>
      </c>
      <c r="I207" s="1">
        <v>10656683</v>
      </c>
      <c r="J207" s="1" t="s">
        <v>45</v>
      </c>
      <c r="K207" s="1" t="s">
        <v>668</v>
      </c>
      <c r="L207" s="1" t="s">
        <v>66</v>
      </c>
      <c r="M207" s="1" t="s">
        <v>48</v>
      </c>
      <c r="N207" s="1" t="s">
        <v>48</v>
      </c>
      <c r="O207" s="1" t="s">
        <v>669</v>
      </c>
      <c r="P207" s="1" t="s">
        <v>669</v>
      </c>
      <c r="Q207" s="1">
        <v>10341016</v>
      </c>
      <c r="R207" s="1" t="s">
        <v>950</v>
      </c>
      <c r="S207" s="3" t="s">
        <v>922</v>
      </c>
      <c r="T207" s="1" t="s">
        <v>52</v>
      </c>
      <c r="U207" s="1" t="s">
        <v>53</v>
      </c>
      <c r="V207" s="1" t="s">
        <v>54</v>
      </c>
      <c r="W207" s="1" t="s">
        <v>55</v>
      </c>
      <c r="X207" s="1">
        <v>1</v>
      </c>
      <c r="Y207" s="10" t="s">
        <v>923</v>
      </c>
      <c r="Z207" s="10">
        <f>_xlfn.XLOOKUP(B207,skill_metrix!A:A,skill_metrix!C:C,0)</f>
        <v>0</v>
      </c>
      <c r="AA207" s="10"/>
      <c r="AB207" s="10" t="s">
        <v>945</v>
      </c>
      <c r="AC207" s="32" t="s">
        <v>84</v>
      </c>
      <c r="AD207" s="10"/>
      <c r="AE207" s="10"/>
      <c r="AF207" s="10"/>
      <c r="AG207" s="10"/>
      <c r="AH207" s="10"/>
    </row>
    <row r="208" spans="1:39" ht="14.25" customHeight="1">
      <c r="A208">
        <v>219</v>
      </c>
      <c r="B208" s="1">
        <v>10643202</v>
      </c>
      <c r="C208" s="1" t="s">
        <v>39</v>
      </c>
      <c r="D208" s="1" t="s">
        <v>951</v>
      </c>
      <c r="E208" s="1" t="s">
        <v>952</v>
      </c>
      <c r="F208" s="1" t="str">
        <f>D208&amp;" "&amp;E208</f>
        <v>ศิรประภา เหมถุริน</v>
      </c>
      <c r="G208" s="1" t="s">
        <v>953</v>
      </c>
      <c r="H208" s="1" t="s">
        <v>954</v>
      </c>
      <c r="I208" s="1">
        <v>10643202</v>
      </c>
      <c r="J208" s="1" t="s">
        <v>45</v>
      </c>
      <c r="K208" s="2">
        <v>45661</v>
      </c>
      <c r="L208" s="1" t="s">
        <v>66</v>
      </c>
      <c r="M208" s="1" t="s">
        <v>48</v>
      </c>
      <c r="N208" s="1" t="s">
        <v>48</v>
      </c>
      <c r="O208" s="1" t="s">
        <v>174</v>
      </c>
      <c r="P208" s="1" t="s">
        <v>174</v>
      </c>
      <c r="Q208" s="1">
        <v>10405353</v>
      </c>
      <c r="R208" s="1" t="s">
        <v>955</v>
      </c>
      <c r="S208" s="3" t="s">
        <v>922</v>
      </c>
      <c r="T208" s="1" t="s">
        <v>52</v>
      </c>
      <c r="U208" s="1" t="s">
        <v>53</v>
      </c>
      <c r="V208" s="1" t="s">
        <v>54</v>
      </c>
      <c r="W208" s="1" t="s">
        <v>55</v>
      </c>
      <c r="X208" s="1">
        <v>1</v>
      </c>
      <c r="Y208" s="10" t="s">
        <v>923</v>
      </c>
      <c r="Z208" s="10">
        <f>_xlfn.XLOOKUP(B208,skill_metrix!A:A,skill_metrix!C:C,0)</f>
        <v>0</v>
      </c>
      <c r="AA208" s="10"/>
      <c r="AB208" s="10" t="s">
        <v>945</v>
      </c>
      <c r="AC208" s="32" t="s">
        <v>91</v>
      </c>
      <c r="AD208" s="10"/>
      <c r="AE208" s="10"/>
      <c r="AF208" s="10"/>
      <c r="AG208" s="10"/>
      <c r="AH208" s="10"/>
    </row>
    <row r="209" spans="1:36" ht="14.25" customHeight="1">
      <c r="A209">
        <v>168</v>
      </c>
      <c r="B209" s="1">
        <v>10602919</v>
      </c>
      <c r="C209" s="1" t="s">
        <v>92</v>
      </c>
      <c r="D209" s="1" t="s">
        <v>956</v>
      </c>
      <c r="E209" s="1" t="s">
        <v>957</v>
      </c>
      <c r="F209" s="1" t="str">
        <f>D209&amp;" "&amp;E209</f>
        <v>ศรายุธ สินชม</v>
      </c>
      <c r="G209" s="1" t="s">
        <v>958</v>
      </c>
      <c r="H209" s="1" t="s">
        <v>959</v>
      </c>
      <c r="I209" s="1">
        <v>10602919</v>
      </c>
      <c r="J209" s="1" t="s">
        <v>45</v>
      </c>
      <c r="K209" s="2">
        <v>45295</v>
      </c>
      <c r="L209" s="1" t="s">
        <v>66</v>
      </c>
      <c r="M209" s="1" t="s">
        <v>48</v>
      </c>
      <c r="N209" s="1" t="s">
        <v>48</v>
      </c>
      <c r="O209" s="1" t="s">
        <v>551</v>
      </c>
      <c r="P209" s="1" t="s">
        <v>551</v>
      </c>
      <c r="Q209" s="1">
        <v>10341055</v>
      </c>
      <c r="R209" s="1" t="s">
        <v>960</v>
      </c>
      <c r="S209" s="3" t="s">
        <v>922</v>
      </c>
      <c r="T209" s="1" t="s">
        <v>52</v>
      </c>
      <c r="U209" s="1" t="s">
        <v>53</v>
      </c>
      <c r="V209" s="1" t="s">
        <v>54</v>
      </c>
      <c r="W209" s="1" t="s">
        <v>55</v>
      </c>
      <c r="X209" s="1">
        <v>1</v>
      </c>
      <c r="Y209" s="10" t="s">
        <v>923</v>
      </c>
      <c r="Z209" s="10">
        <f>_xlfn.XLOOKUP(B209,skill_metrix!A:A,skill_metrix!C:C,0)</f>
        <v>0</v>
      </c>
      <c r="AA209" s="10"/>
      <c r="AB209" s="10" t="s">
        <v>945</v>
      </c>
      <c r="AC209" s="32" t="s">
        <v>69</v>
      </c>
      <c r="AD209" s="10"/>
      <c r="AE209" s="10"/>
      <c r="AF209" s="10"/>
      <c r="AG209" s="10"/>
      <c r="AH209" s="10"/>
    </row>
    <row r="210" spans="1:36" ht="14.25" customHeight="1">
      <c r="A210">
        <v>88</v>
      </c>
      <c r="B210" s="1">
        <v>10500442</v>
      </c>
      <c r="C210" s="1" t="s">
        <v>92</v>
      </c>
      <c r="D210" s="1" t="s">
        <v>623</v>
      </c>
      <c r="E210" s="1" t="s">
        <v>961</v>
      </c>
      <c r="F210" s="1" t="str">
        <f>D210&amp;" "&amp;E210</f>
        <v>วันชัย ไวยกรรณ์</v>
      </c>
      <c r="G210" s="1" t="s">
        <v>625</v>
      </c>
      <c r="H210" s="1" t="s">
        <v>962</v>
      </c>
      <c r="I210" s="1">
        <v>10500442</v>
      </c>
      <c r="J210" s="1" t="s">
        <v>45</v>
      </c>
      <c r="K210" s="2">
        <v>44207</v>
      </c>
      <c r="L210" s="1" t="s">
        <v>66</v>
      </c>
      <c r="M210" s="1" t="s">
        <v>48</v>
      </c>
      <c r="N210" s="1" t="s">
        <v>48</v>
      </c>
      <c r="O210" s="1" t="s">
        <v>963</v>
      </c>
      <c r="P210" s="1" t="s">
        <v>963</v>
      </c>
      <c r="Q210" s="1">
        <v>10341055</v>
      </c>
      <c r="R210" s="1" t="s">
        <v>960</v>
      </c>
      <c r="S210" s="3" t="s">
        <v>922</v>
      </c>
      <c r="T210" s="1" t="s">
        <v>52</v>
      </c>
      <c r="U210" s="1" t="s">
        <v>53</v>
      </c>
      <c r="V210" s="1" t="s">
        <v>54</v>
      </c>
      <c r="W210" s="1" t="s">
        <v>55</v>
      </c>
      <c r="X210" s="1">
        <v>1</v>
      </c>
      <c r="Y210" s="10" t="s">
        <v>923</v>
      </c>
      <c r="Z210" s="10">
        <f>_xlfn.XLOOKUP(B210,skill_metrix!A:A,skill_metrix!C:C,0)</f>
        <v>0</v>
      </c>
      <c r="AA210" s="10"/>
      <c r="AB210" s="10" t="s">
        <v>945</v>
      </c>
      <c r="AC210" s="32" t="s">
        <v>138</v>
      </c>
      <c r="AD210" s="10"/>
      <c r="AE210" s="10"/>
      <c r="AF210" s="10"/>
      <c r="AG210" s="10"/>
      <c r="AH210" s="10"/>
    </row>
    <row r="211" spans="1:36" ht="14.25" customHeight="1">
      <c r="A211">
        <v>202</v>
      </c>
      <c r="B211" s="1">
        <v>10631670</v>
      </c>
      <c r="C211" s="1" t="s">
        <v>92</v>
      </c>
      <c r="D211" s="1" t="s">
        <v>964</v>
      </c>
      <c r="E211" s="1" t="s">
        <v>965</v>
      </c>
      <c r="F211" s="1" t="str">
        <f>D211&amp;" "&amp;E211</f>
        <v>พัลลภ ธรรมวงษ์</v>
      </c>
      <c r="G211" s="1" t="s">
        <v>966</v>
      </c>
      <c r="H211" s="1" t="s">
        <v>967</v>
      </c>
      <c r="I211" s="1">
        <v>10631670</v>
      </c>
      <c r="J211" s="1" t="s">
        <v>45</v>
      </c>
      <c r="K211" s="1" t="s">
        <v>275</v>
      </c>
      <c r="L211" s="1" t="s">
        <v>66</v>
      </c>
      <c r="M211" s="1" t="s">
        <v>48</v>
      </c>
      <c r="N211" s="1" t="s">
        <v>48</v>
      </c>
      <c r="O211" s="1" t="s">
        <v>276</v>
      </c>
      <c r="P211" s="1" t="s">
        <v>276</v>
      </c>
      <c r="Q211" s="1">
        <v>10341016</v>
      </c>
      <c r="R211" s="1" t="s">
        <v>950</v>
      </c>
      <c r="S211" s="3" t="s">
        <v>922</v>
      </c>
      <c r="T211" s="1" t="s">
        <v>52</v>
      </c>
      <c r="U211" s="1" t="s">
        <v>53</v>
      </c>
      <c r="V211" s="1" t="s">
        <v>54</v>
      </c>
      <c r="W211" s="1" t="s">
        <v>55</v>
      </c>
      <c r="X211" s="1">
        <v>1</v>
      </c>
      <c r="Y211" s="10" t="s">
        <v>923</v>
      </c>
      <c r="Z211" s="10">
        <f>_xlfn.XLOOKUP(B211,skill_metrix!A:A,skill_metrix!C:C,0)</f>
        <v>0</v>
      </c>
      <c r="AA211" s="10"/>
      <c r="AB211" s="10" t="s">
        <v>945</v>
      </c>
      <c r="AC211" s="32" t="s">
        <v>76</v>
      </c>
      <c r="AD211" s="10"/>
      <c r="AE211" s="10"/>
      <c r="AF211" s="10"/>
      <c r="AG211" s="10"/>
      <c r="AH211" s="10"/>
    </row>
    <row r="212" spans="1:36" ht="14.25" customHeight="1">
      <c r="A212">
        <v>240</v>
      </c>
      <c r="B212" s="1">
        <v>10654251</v>
      </c>
      <c r="C212" s="1" t="s">
        <v>92</v>
      </c>
      <c r="D212" s="1" t="s">
        <v>968</v>
      </c>
      <c r="E212" s="1" t="s">
        <v>969</v>
      </c>
      <c r="F212" s="1" t="str">
        <f>D212&amp;" "&amp;E212</f>
        <v>ทัตพงษ์ เจริญใส</v>
      </c>
      <c r="G212" s="1" t="s">
        <v>970</v>
      </c>
      <c r="H212" s="1" t="s">
        <v>971</v>
      </c>
      <c r="I212" s="1">
        <v>10654251</v>
      </c>
      <c r="J212" s="1" t="s">
        <v>45</v>
      </c>
      <c r="K212" s="2">
        <v>45845</v>
      </c>
      <c r="L212" s="1" t="s">
        <v>66</v>
      </c>
      <c r="M212" s="1" t="s">
        <v>48</v>
      </c>
      <c r="N212" s="1" t="s">
        <v>48</v>
      </c>
      <c r="O212" s="2">
        <v>45727</v>
      </c>
      <c r="P212" s="2">
        <v>45727</v>
      </c>
      <c r="Q212" s="1">
        <v>10341016</v>
      </c>
      <c r="R212" s="1" t="s">
        <v>950</v>
      </c>
      <c r="S212" s="3" t="s">
        <v>922</v>
      </c>
      <c r="T212" s="1" t="s">
        <v>52</v>
      </c>
      <c r="U212" s="1" t="s">
        <v>53</v>
      </c>
      <c r="V212" s="1" t="s">
        <v>54</v>
      </c>
      <c r="W212" s="1" t="s">
        <v>55</v>
      </c>
      <c r="X212" s="1">
        <v>1</v>
      </c>
      <c r="Y212" s="10" t="s">
        <v>923</v>
      </c>
      <c r="Z212" s="10">
        <f>_xlfn.XLOOKUP(B212,skill_metrix!A:A,skill_metrix!C:C,0)</f>
        <v>0</v>
      </c>
      <c r="AA212" s="10"/>
      <c r="AB212" s="10" t="s">
        <v>945</v>
      </c>
      <c r="AC212" s="32" t="s">
        <v>84</v>
      </c>
      <c r="AD212" s="10"/>
      <c r="AE212" s="10"/>
      <c r="AF212" s="10"/>
      <c r="AG212" s="10"/>
      <c r="AH212" s="10"/>
    </row>
    <row r="213" spans="1:36" ht="14.25" customHeight="1">
      <c r="A213">
        <v>222</v>
      </c>
      <c r="B213" s="1">
        <v>10646376</v>
      </c>
      <c r="C213" s="1" t="s">
        <v>39</v>
      </c>
      <c r="D213" s="1" t="s">
        <v>972</v>
      </c>
      <c r="E213" s="1" t="s">
        <v>973</v>
      </c>
      <c r="F213" s="1" t="str">
        <f>D213&amp;" "&amp;E213</f>
        <v>ณัฐวรา หล่อทองแดง</v>
      </c>
      <c r="G213" s="1" t="s">
        <v>974</v>
      </c>
      <c r="H213" s="1" t="s">
        <v>975</v>
      </c>
      <c r="I213" s="1">
        <v>10646376</v>
      </c>
      <c r="J213" s="1" t="s">
        <v>45</v>
      </c>
      <c r="K213" s="2">
        <v>45693</v>
      </c>
      <c r="L213" s="1" t="s">
        <v>66</v>
      </c>
      <c r="M213" s="1" t="s">
        <v>48</v>
      </c>
      <c r="N213" s="1" t="s">
        <v>48</v>
      </c>
      <c r="O213" s="1" t="s">
        <v>976</v>
      </c>
      <c r="P213" s="1" t="s">
        <v>976</v>
      </c>
      <c r="Q213" s="1">
        <v>10341016</v>
      </c>
      <c r="R213" s="1" t="s">
        <v>950</v>
      </c>
      <c r="S213" s="3" t="s">
        <v>922</v>
      </c>
      <c r="T213" s="1" t="s">
        <v>52</v>
      </c>
      <c r="U213" s="1" t="s">
        <v>53</v>
      </c>
      <c r="V213" s="1" t="s">
        <v>54</v>
      </c>
      <c r="W213" s="1" t="s">
        <v>55</v>
      </c>
      <c r="X213" s="1">
        <v>1</v>
      </c>
      <c r="Y213" s="10" t="s">
        <v>923</v>
      </c>
      <c r="Z213" s="10">
        <f>_xlfn.XLOOKUP(B213,skill_metrix!A:A,skill_metrix!C:C,0)</f>
        <v>0</v>
      </c>
      <c r="AA213" s="10"/>
      <c r="AB213" s="10" t="s">
        <v>945</v>
      </c>
      <c r="AC213" s="32" t="s">
        <v>58</v>
      </c>
      <c r="AD213" s="10"/>
      <c r="AE213" s="10"/>
      <c r="AF213" s="10"/>
      <c r="AG213" s="10"/>
      <c r="AH213" s="10"/>
    </row>
    <row r="214" spans="1:36" ht="14.25" customHeight="1">
      <c r="A214">
        <v>89</v>
      </c>
      <c r="B214" s="1">
        <v>10500453</v>
      </c>
      <c r="C214" s="1" t="s">
        <v>39</v>
      </c>
      <c r="D214" s="1" t="s">
        <v>977</v>
      </c>
      <c r="E214" s="1" t="s">
        <v>961</v>
      </c>
      <c r="F214" s="1" t="str">
        <f>D214&amp;" "&amp;E214</f>
        <v>กัลยา ไวยกรรณ์</v>
      </c>
      <c r="G214" s="1" t="s">
        <v>978</v>
      </c>
      <c r="H214" s="1" t="s">
        <v>979</v>
      </c>
      <c r="I214" s="1">
        <v>10500453</v>
      </c>
      <c r="J214" s="1" t="s">
        <v>45</v>
      </c>
      <c r="K214" s="2">
        <v>44207</v>
      </c>
      <c r="L214" s="1" t="s">
        <v>66</v>
      </c>
      <c r="M214" s="1" t="s">
        <v>48</v>
      </c>
      <c r="N214" s="1" t="s">
        <v>48</v>
      </c>
      <c r="O214" s="1" t="s">
        <v>963</v>
      </c>
      <c r="P214" s="1" t="s">
        <v>963</v>
      </c>
      <c r="Q214" s="1">
        <v>10341016</v>
      </c>
      <c r="R214" s="1" t="s">
        <v>950</v>
      </c>
      <c r="S214" s="3" t="s">
        <v>922</v>
      </c>
      <c r="T214" s="1" t="s">
        <v>52</v>
      </c>
      <c r="U214" s="1" t="s">
        <v>53</v>
      </c>
      <c r="V214" s="1" t="s">
        <v>54</v>
      </c>
      <c r="W214" s="1" t="s">
        <v>55</v>
      </c>
      <c r="X214" s="1">
        <v>1</v>
      </c>
      <c r="Y214" s="10" t="s">
        <v>923</v>
      </c>
      <c r="Z214" s="10">
        <f>_xlfn.XLOOKUP(B214,skill_metrix!A:A,skill_metrix!C:C,0)</f>
        <v>0</v>
      </c>
      <c r="AA214" s="10"/>
      <c r="AB214" s="10" t="s">
        <v>945</v>
      </c>
      <c r="AC214" s="32" t="s">
        <v>138</v>
      </c>
      <c r="AD214" s="10"/>
      <c r="AE214" s="10"/>
      <c r="AF214" s="10"/>
      <c r="AG214" s="10"/>
      <c r="AH214" s="10"/>
    </row>
    <row r="215" spans="1:36" ht="14.25" customHeight="1">
      <c r="A215">
        <v>322</v>
      </c>
      <c r="B215" s="1">
        <v>10668170</v>
      </c>
      <c r="C215" s="1" t="s">
        <v>415</v>
      </c>
      <c r="D215" s="1" t="s">
        <v>980</v>
      </c>
      <c r="E215" s="1" t="s">
        <v>631</v>
      </c>
      <c r="F215" s="1" t="str">
        <f>D215&amp;" "&amp;E215</f>
        <v>MIN THET OO -</v>
      </c>
      <c r="G215" s="1" t="s">
        <v>980</v>
      </c>
      <c r="H215" s="1" t="s">
        <v>631</v>
      </c>
      <c r="I215" s="1">
        <v>10668170</v>
      </c>
      <c r="J215" s="1" t="s">
        <v>45</v>
      </c>
      <c r="K215" s="2">
        <v>45667</v>
      </c>
      <c r="L215" s="1" t="s">
        <v>66</v>
      </c>
      <c r="M215" s="1" t="s">
        <v>48</v>
      </c>
      <c r="N215" s="1" t="s">
        <v>48</v>
      </c>
      <c r="O215" s="1" t="s">
        <v>936</v>
      </c>
      <c r="P215" s="1" t="s">
        <v>936</v>
      </c>
      <c r="Q215" s="1">
        <v>10358628</v>
      </c>
      <c r="R215" s="1" t="s">
        <v>981</v>
      </c>
      <c r="S215" s="3" t="s">
        <v>922</v>
      </c>
      <c r="T215" s="1" t="s">
        <v>52</v>
      </c>
      <c r="U215" s="1" t="s">
        <v>53</v>
      </c>
      <c r="V215" s="1" t="s">
        <v>54</v>
      </c>
      <c r="W215" s="1" t="s">
        <v>632</v>
      </c>
      <c r="X215" s="1">
        <v>1</v>
      </c>
      <c r="Y215" s="10" t="s">
        <v>923</v>
      </c>
      <c r="Z215" s="10">
        <f>_xlfn.XLOOKUP(B215,skill_metrix!A:A,skill_metrix!C:C,0)</f>
        <v>0</v>
      </c>
      <c r="AA215" s="10"/>
      <c r="AB215" s="10" t="s">
        <v>945</v>
      </c>
      <c r="AC215" s="32" t="s">
        <v>212</v>
      </c>
      <c r="AD215" s="10"/>
      <c r="AE215" s="10"/>
      <c r="AF215" s="10"/>
      <c r="AG215" s="10"/>
      <c r="AH215" s="10"/>
    </row>
    <row r="216" spans="1:36" ht="14.25" customHeight="1">
      <c r="A216">
        <v>319</v>
      </c>
      <c r="B216" s="1">
        <v>10668118</v>
      </c>
      <c r="C216" s="1" t="s">
        <v>415</v>
      </c>
      <c r="D216" s="1" t="s">
        <v>982</v>
      </c>
      <c r="E216" s="1" t="s">
        <v>631</v>
      </c>
      <c r="F216" s="1" t="str">
        <f>D216&amp;" "&amp;E216</f>
        <v>LIN -</v>
      </c>
      <c r="G216" s="1" t="s">
        <v>982</v>
      </c>
      <c r="H216" s="1" t="s">
        <v>631</v>
      </c>
      <c r="I216" s="1">
        <v>10668118</v>
      </c>
      <c r="J216" s="1" t="s">
        <v>45</v>
      </c>
      <c r="K216" s="2">
        <v>45667</v>
      </c>
      <c r="L216" s="1" t="s">
        <v>66</v>
      </c>
      <c r="M216" s="1" t="s">
        <v>48</v>
      </c>
      <c r="N216" s="1" t="s">
        <v>48</v>
      </c>
      <c r="O216" s="1" t="s">
        <v>936</v>
      </c>
      <c r="P216" s="1" t="s">
        <v>936</v>
      </c>
      <c r="Q216" s="1">
        <v>10341016</v>
      </c>
      <c r="R216" s="1" t="s">
        <v>950</v>
      </c>
      <c r="S216" s="3" t="s">
        <v>922</v>
      </c>
      <c r="T216" s="1" t="s">
        <v>52</v>
      </c>
      <c r="U216" s="1" t="s">
        <v>53</v>
      </c>
      <c r="V216" s="1" t="s">
        <v>54</v>
      </c>
      <c r="W216" s="1" t="s">
        <v>632</v>
      </c>
      <c r="X216" s="1">
        <v>1</v>
      </c>
      <c r="Y216" s="10" t="s">
        <v>923</v>
      </c>
      <c r="Z216" s="10" t="str">
        <f>_xlfn.XLOOKUP(B216,skill_metrix!A:A,skill_metrix!C:C,0)</f>
        <v>สไลด์</v>
      </c>
      <c r="AA216" s="10"/>
      <c r="AB216" s="10" t="s">
        <v>945</v>
      </c>
      <c r="AC216" s="32" t="s">
        <v>91</v>
      </c>
      <c r="AD216" s="10"/>
      <c r="AE216" s="10"/>
      <c r="AF216" s="10"/>
      <c r="AG216" s="10"/>
      <c r="AH216" s="10"/>
    </row>
    <row r="217" spans="1:36" ht="14.25" customHeight="1">
      <c r="A217">
        <v>281</v>
      </c>
      <c r="B217" s="1">
        <v>10661894</v>
      </c>
      <c r="C217" s="1" t="s">
        <v>39</v>
      </c>
      <c r="D217" s="1" t="s">
        <v>983</v>
      </c>
      <c r="E217" s="1" t="s">
        <v>984</v>
      </c>
      <c r="F217" s="1" t="str">
        <f>D217&amp;" "&amp;E217</f>
        <v>อัจจิมา ประสานเนตร</v>
      </c>
      <c r="G217" s="1" t="s">
        <v>985</v>
      </c>
      <c r="H217" s="1" t="s">
        <v>986</v>
      </c>
      <c r="I217" s="1">
        <v>10661894</v>
      </c>
      <c r="J217" s="1" t="s">
        <v>45</v>
      </c>
      <c r="K217" s="1" t="s">
        <v>711</v>
      </c>
      <c r="L217" s="1" t="s">
        <v>66</v>
      </c>
      <c r="M217" s="1" t="s">
        <v>48</v>
      </c>
      <c r="N217" s="1" t="s">
        <v>48</v>
      </c>
      <c r="O217" s="1" t="s">
        <v>712</v>
      </c>
      <c r="P217" s="1" t="s">
        <v>712</v>
      </c>
      <c r="Q217" s="1">
        <v>10405353</v>
      </c>
      <c r="R217" s="1" t="s">
        <v>955</v>
      </c>
      <c r="S217" s="3" t="s">
        <v>922</v>
      </c>
      <c r="T217" s="1" t="s">
        <v>52</v>
      </c>
      <c r="U217" s="1" t="s">
        <v>53</v>
      </c>
      <c r="V217" s="1" t="s">
        <v>54</v>
      </c>
      <c r="W217" s="1" t="s">
        <v>55</v>
      </c>
      <c r="X217" s="1">
        <v>1</v>
      </c>
      <c r="Y217" s="10" t="s">
        <v>923</v>
      </c>
      <c r="Z217" s="10">
        <f>_xlfn.XLOOKUP(B217,skill_metrix!A:A,skill_metrix!C:C,0)</f>
        <v>0</v>
      </c>
      <c r="AA217" s="10"/>
      <c r="AB217" s="10" t="s">
        <v>987</v>
      </c>
      <c r="AC217" s="32" t="s">
        <v>69</v>
      </c>
      <c r="AD217" s="10"/>
      <c r="AE217" s="10"/>
      <c r="AF217" s="10" t="s">
        <v>59</v>
      </c>
      <c r="AG217" s="10"/>
      <c r="AH217" s="10"/>
      <c r="AI217" s="24">
        <v>0.33333333333333331</v>
      </c>
      <c r="AJ217" s="24">
        <v>0.70833333333333337</v>
      </c>
    </row>
    <row r="218" spans="1:36" ht="14.25" customHeight="1">
      <c r="A218">
        <v>279</v>
      </c>
      <c r="B218" s="1">
        <v>10660705</v>
      </c>
      <c r="C218" s="1" t="s">
        <v>39</v>
      </c>
      <c r="D218" s="1" t="s">
        <v>988</v>
      </c>
      <c r="E218" s="1" t="s">
        <v>989</v>
      </c>
      <c r="F218" s="1" t="str">
        <f>D218&amp;" "&amp;E218</f>
        <v>สรัญญา ดับทุกข์</v>
      </c>
      <c r="G218" s="1" t="s">
        <v>990</v>
      </c>
      <c r="H218" s="1" t="s">
        <v>991</v>
      </c>
      <c r="I218" s="1">
        <v>10660705</v>
      </c>
      <c r="J218" s="1" t="s">
        <v>45</v>
      </c>
      <c r="K218" s="1" t="s">
        <v>992</v>
      </c>
      <c r="L218" s="1" t="s">
        <v>66</v>
      </c>
      <c r="M218" s="1" t="s">
        <v>48</v>
      </c>
      <c r="N218" s="1" t="s">
        <v>48</v>
      </c>
      <c r="O218" s="1" t="s">
        <v>860</v>
      </c>
      <c r="P218" s="1" t="s">
        <v>860</v>
      </c>
      <c r="Q218" s="1">
        <v>10405353</v>
      </c>
      <c r="R218" s="1" t="s">
        <v>955</v>
      </c>
      <c r="S218" s="3" t="s">
        <v>922</v>
      </c>
      <c r="T218" s="1" t="s">
        <v>52</v>
      </c>
      <c r="U218" s="1" t="s">
        <v>53</v>
      </c>
      <c r="V218" s="1" t="s">
        <v>54</v>
      </c>
      <c r="W218" s="1" t="s">
        <v>55</v>
      </c>
      <c r="X218" s="1">
        <v>1</v>
      </c>
      <c r="Y218" s="10" t="s">
        <v>923</v>
      </c>
      <c r="Z218" s="10" t="str">
        <f>_xlfn.XLOOKUP(B218,skill_metrix!A:A,skill_metrix!C:C,0)</f>
        <v>สไลด์</v>
      </c>
      <c r="AA218" s="10"/>
      <c r="AB218" s="10" t="s">
        <v>987</v>
      </c>
      <c r="AC218" s="32" t="s">
        <v>84</v>
      </c>
      <c r="AD218" s="10" t="s">
        <v>993</v>
      </c>
      <c r="AE218" s="10"/>
      <c r="AF218" s="10" t="s">
        <v>59</v>
      </c>
      <c r="AG218" s="10"/>
      <c r="AH218" s="10"/>
      <c r="AI218" s="30">
        <v>0.33333333333333331</v>
      </c>
      <c r="AJ218" s="30">
        <v>0.70833333333333337</v>
      </c>
    </row>
    <row r="219" spans="1:36" ht="14.25" customHeight="1">
      <c r="A219">
        <v>221</v>
      </c>
      <c r="B219" s="1">
        <v>10643727</v>
      </c>
      <c r="C219" s="1" t="s">
        <v>39</v>
      </c>
      <c r="D219" s="1" t="s">
        <v>994</v>
      </c>
      <c r="E219" s="1" t="s">
        <v>995</v>
      </c>
      <c r="F219" s="1" t="str">
        <f>D219&amp;" "&amp;E219</f>
        <v>ศิริขวัญ ปั้นทอง</v>
      </c>
      <c r="G219" s="1" t="s">
        <v>996</v>
      </c>
      <c r="H219" s="1" t="s">
        <v>997</v>
      </c>
      <c r="I219" s="1">
        <v>10643727</v>
      </c>
      <c r="J219" s="1" t="s">
        <v>45</v>
      </c>
      <c r="K219" s="2">
        <v>45842</v>
      </c>
      <c r="L219" s="1" t="s">
        <v>66</v>
      </c>
      <c r="M219" s="1" t="s">
        <v>48</v>
      </c>
      <c r="N219" s="1" t="s">
        <v>48</v>
      </c>
      <c r="O219" s="2">
        <v>45755</v>
      </c>
      <c r="P219" s="2">
        <v>45755</v>
      </c>
      <c r="Q219" s="1">
        <v>10358628</v>
      </c>
      <c r="R219" s="1" t="s">
        <v>981</v>
      </c>
      <c r="S219" s="3" t="s">
        <v>922</v>
      </c>
      <c r="T219" s="1" t="s">
        <v>52</v>
      </c>
      <c r="U219" s="1" t="s">
        <v>53</v>
      </c>
      <c r="V219" s="1" t="s">
        <v>54</v>
      </c>
      <c r="W219" s="1" t="s">
        <v>55</v>
      </c>
      <c r="X219" s="1">
        <v>1</v>
      </c>
      <c r="Y219" s="10" t="s">
        <v>923</v>
      </c>
      <c r="Z219" s="10">
        <f>_xlfn.XLOOKUP(B219,skill_metrix!A:A,skill_metrix!C:C,0)</f>
        <v>0</v>
      </c>
      <c r="AA219" s="10"/>
      <c r="AB219" s="10" t="s">
        <v>987</v>
      </c>
      <c r="AC219" s="32" t="s">
        <v>138</v>
      </c>
      <c r="AD219" s="10" t="s">
        <v>993</v>
      </c>
      <c r="AE219" s="10"/>
      <c r="AF219" s="10" t="s">
        <v>59</v>
      </c>
      <c r="AG219" s="10"/>
      <c r="AH219" s="10"/>
      <c r="AI219" s="30">
        <v>0.33333333333333331</v>
      </c>
      <c r="AJ219" s="30">
        <v>0.70833333333333337</v>
      </c>
    </row>
    <row r="220" spans="1:36" ht="14.25" customHeight="1">
      <c r="A220">
        <v>435</v>
      </c>
      <c r="B220" s="10">
        <v>10695580</v>
      </c>
      <c r="D220" s="10" t="s">
        <v>998</v>
      </c>
      <c r="E220" s="10" t="s">
        <v>999</v>
      </c>
      <c r="F220" s="1" t="str">
        <f>D220&amp;" "&amp;E220</f>
        <v>ชัยวัฒน์ หรั่งโสภา</v>
      </c>
      <c r="S220" s="3" t="s">
        <v>922</v>
      </c>
      <c r="AA220" s="10"/>
      <c r="AB220" s="10" t="s">
        <v>987</v>
      </c>
      <c r="AC220" s="32" t="s">
        <v>58</v>
      </c>
      <c r="AF220" s="10" t="s">
        <v>59</v>
      </c>
      <c r="AI220" s="24">
        <v>0.33333333333333331</v>
      </c>
      <c r="AJ220" s="24">
        <v>0.70833333333333337</v>
      </c>
    </row>
    <row r="221" spans="1:36" ht="14.25" customHeight="1">
      <c r="A221">
        <v>348</v>
      </c>
      <c r="B221" s="1">
        <v>10680150</v>
      </c>
      <c r="C221" s="1" t="s">
        <v>39</v>
      </c>
      <c r="D221" s="1" t="s">
        <v>1000</v>
      </c>
      <c r="E221" s="1" t="s">
        <v>1001</v>
      </c>
      <c r="F221" s="1" t="str">
        <f>D221&amp;" "&amp;E221</f>
        <v>จันทราภร สีสุรัตน์</v>
      </c>
      <c r="G221" s="1" t="s">
        <v>1002</v>
      </c>
      <c r="H221" s="1" t="s">
        <v>1003</v>
      </c>
      <c r="I221" s="1">
        <v>10680150</v>
      </c>
      <c r="J221" s="1" t="s">
        <v>45</v>
      </c>
      <c r="K221" s="1" t="s">
        <v>97</v>
      </c>
      <c r="L221" s="1" t="s">
        <v>66</v>
      </c>
      <c r="M221" s="1" t="s">
        <v>48</v>
      </c>
      <c r="N221" s="1" t="s">
        <v>98</v>
      </c>
      <c r="O221" s="1" t="s">
        <v>99</v>
      </c>
      <c r="P221" s="1" t="s">
        <v>100</v>
      </c>
      <c r="Q221" s="1">
        <v>10405353</v>
      </c>
      <c r="R221" s="1" t="s">
        <v>955</v>
      </c>
      <c r="S221" s="3" t="s">
        <v>922</v>
      </c>
      <c r="T221" s="1" t="s">
        <v>52</v>
      </c>
      <c r="U221" s="1" t="s">
        <v>53</v>
      </c>
      <c r="V221" s="1" t="s">
        <v>54</v>
      </c>
      <c r="W221" s="1" t="s">
        <v>55</v>
      </c>
      <c r="X221" s="1">
        <v>1</v>
      </c>
      <c r="Y221" s="10" t="s">
        <v>923</v>
      </c>
      <c r="Z221" s="10" t="str">
        <f>_xlfn.XLOOKUP(B221,skill_metrix!A:A,skill_metrix!C:C,0)</f>
        <v>หมูบด</v>
      </c>
      <c r="AA221" s="10"/>
      <c r="AB221" s="10" t="s">
        <v>987</v>
      </c>
      <c r="AC221" s="32" t="s">
        <v>91</v>
      </c>
      <c r="AD221" s="10"/>
      <c r="AE221" s="10"/>
      <c r="AF221" s="10" t="s">
        <v>59</v>
      </c>
      <c r="AG221" s="10"/>
      <c r="AH221" s="10"/>
      <c r="AI221" s="24">
        <v>0.33333333333333331</v>
      </c>
      <c r="AJ221" s="24">
        <v>0.70833333333333337</v>
      </c>
    </row>
    <row r="222" spans="1:36" ht="14.25" customHeight="1">
      <c r="A222">
        <v>220</v>
      </c>
      <c r="B222" s="1">
        <v>10643716</v>
      </c>
      <c r="C222" s="1" t="s">
        <v>92</v>
      </c>
      <c r="D222" s="1" t="s">
        <v>1004</v>
      </c>
      <c r="E222" s="1" t="s">
        <v>1005</v>
      </c>
      <c r="F222" s="1" t="str">
        <f>D222&amp;" "&amp;E222</f>
        <v>กริชวรา จันทร์ขาบมณี</v>
      </c>
      <c r="G222" s="1" t="s">
        <v>1006</v>
      </c>
      <c r="H222" s="1" t="s">
        <v>1007</v>
      </c>
      <c r="I222" s="1">
        <v>10643716</v>
      </c>
      <c r="J222" s="1" t="s">
        <v>45</v>
      </c>
      <c r="K222" s="2">
        <v>45842</v>
      </c>
      <c r="L222" s="1" t="s">
        <v>66</v>
      </c>
      <c r="M222" s="1" t="s">
        <v>48</v>
      </c>
      <c r="N222" s="1" t="s">
        <v>48</v>
      </c>
      <c r="O222" s="2">
        <v>45755</v>
      </c>
      <c r="P222" s="2">
        <v>45755</v>
      </c>
      <c r="Q222" s="1">
        <v>10405353</v>
      </c>
      <c r="R222" s="1" t="s">
        <v>955</v>
      </c>
      <c r="S222" s="3" t="s">
        <v>922</v>
      </c>
      <c r="T222" s="1" t="s">
        <v>52</v>
      </c>
      <c r="U222" s="1" t="s">
        <v>53</v>
      </c>
      <c r="V222" s="1" t="s">
        <v>54</v>
      </c>
      <c r="W222" s="1" t="s">
        <v>55</v>
      </c>
      <c r="X222" s="1">
        <v>1</v>
      </c>
      <c r="Y222" s="10" t="s">
        <v>923</v>
      </c>
      <c r="Z222" s="10">
        <f>_xlfn.XLOOKUP(B222,skill_metrix!A:A,skill_metrix!C:C,0)</f>
        <v>0</v>
      </c>
      <c r="AA222" s="10"/>
      <c r="AB222" s="10" t="s">
        <v>987</v>
      </c>
      <c r="AC222" s="32" t="s">
        <v>138</v>
      </c>
      <c r="AD222" s="10"/>
      <c r="AE222" s="10"/>
      <c r="AF222" s="10" t="s">
        <v>59</v>
      </c>
      <c r="AG222" s="10"/>
      <c r="AH222" s="10"/>
      <c r="AI222" s="24">
        <v>0.33333333333333331</v>
      </c>
      <c r="AJ222" s="24">
        <v>0.70833333333333337</v>
      </c>
    </row>
    <row r="223" spans="1:36" ht="14.25" customHeight="1">
      <c r="A223">
        <v>376</v>
      </c>
      <c r="B223" s="1">
        <v>10685891</v>
      </c>
      <c r="C223" s="1" t="s">
        <v>415</v>
      </c>
      <c r="D223" s="1" t="s">
        <v>1008</v>
      </c>
      <c r="E223" s="1" t="s">
        <v>631</v>
      </c>
      <c r="F223" s="1" t="str">
        <f>D223&amp;" "&amp;E223</f>
        <v>YAWIN -</v>
      </c>
      <c r="G223" s="1" t="s">
        <v>1008</v>
      </c>
      <c r="H223" s="1" t="s">
        <v>631</v>
      </c>
      <c r="I223" s="1">
        <v>10685891</v>
      </c>
      <c r="J223" s="1" t="s">
        <v>45</v>
      </c>
      <c r="K223" s="2">
        <v>46145</v>
      </c>
      <c r="L223" s="1" t="s">
        <v>66</v>
      </c>
      <c r="M223" s="1" t="s">
        <v>48</v>
      </c>
      <c r="N223" s="1" t="s">
        <v>98</v>
      </c>
      <c r="O223" s="2">
        <v>46060</v>
      </c>
      <c r="P223" s="1" t="s">
        <v>100</v>
      </c>
      <c r="Q223" s="1">
        <v>10405353</v>
      </c>
      <c r="R223" s="1" t="s">
        <v>955</v>
      </c>
      <c r="S223" s="3" t="s">
        <v>922</v>
      </c>
      <c r="T223" s="1" t="s">
        <v>52</v>
      </c>
      <c r="U223" s="1" t="s">
        <v>53</v>
      </c>
      <c r="V223" s="1" t="s">
        <v>54</v>
      </c>
      <c r="W223" s="1" t="s">
        <v>632</v>
      </c>
      <c r="X223" s="1">
        <v>1</v>
      </c>
      <c r="Y223" s="10" t="s">
        <v>923</v>
      </c>
      <c r="Z223" s="10" t="str">
        <f>_xlfn.XLOOKUP(B223,skill_metrix!A:A,skill_metrix!C:C,0)</f>
        <v>หมูบด</v>
      </c>
      <c r="AA223" s="10"/>
      <c r="AB223" s="10" t="s">
        <v>987</v>
      </c>
      <c r="AC223" s="32" t="s">
        <v>76</v>
      </c>
      <c r="AD223" s="10"/>
      <c r="AE223" s="10"/>
      <c r="AF223" s="10" t="s">
        <v>59</v>
      </c>
      <c r="AG223" s="10"/>
      <c r="AH223" s="10"/>
      <c r="AI223" s="24">
        <v>0.33333333333333331</v>
      </c>
      <c r="AJ223" s="24">
        <v>0.70833333333333337</v>
      </c>
    </row>
    <row r="224" spans="1:36" ht="14.25" customHeight="1">
      <c r="A224">
        <v>330</v>
      </c>
      <c r="B224" s="1">
        <v>10668232</v>
      </c>
      <c r="C224" s="1" t="s">
        <v>762</v>
      </c>
      <c r="D224" s="1" t="s">
        <v>1009</v>
      </c>
      <c r="E224" s="1" t="s">
        <v>631</v>
      </c>
      <c r="F224" s="1" t="str">
        <f>D224&amp;" "&amp;E224</f>
        <v>TOE TOE -</v>
      </c>
      <c r="G224" s="1" t="s">
        <v>1009</v>
      </c>
      <c r="H224" s="1" t="s">
        <v>631</v>
      </c>
      <c r="I224" s="1">
        <v>10668232</v>
      </c>
      <c r="J224" s="1" t="s">
        <v>45</v>
      </c>
      <c r="K224" s="2">
        <v>45667</v>
      </c>
      <c r="L224" s="1" t="s">
        <v>66</v>
      </c>
      <c r="M224" s="1" t="s">
        <v>48</v>
      </c>
      <c r="N224" s="1" t="s">
        <v>48</v>
      </c>
      <c r="O224" s="1" t="s">
        <v>936</v>
      </c>
      <c r="P224" s="1" t="s">
        <v>936</v>
      </c>
      <c r="Q224" s="1">
        <v>10405353</v>
      </c>
      <c r="R224" s="1" t="s">
        <v>955</v>
      </c>
      <c r="S224" s="3" t="s">
        <v>922</v>
      </c>
      <c r="T224" s="1" t="s">
        <v>52</v>
      </c>
      <c r="U224" s="1" t="s">
        <v>53</v>
      </c>
      <c r="V224" s="1" t="s">
        <v>54</v>
      </c>
      <c r="W224" s="1" t="s">
        <v>632</v>
      </c>
      <c r="X224" s="1">
        <v>1</v>
      </c>
      <c r="Y224" s="10" t="s">
        <v>923</v>
      </c>
      <c r="Z224" s="10">
        <f>_xlfn.XLOOKUP(B224,skill_metrix!A:A,skill_metrix!C:C,0)</f>
        <v>0</v>
      </c>
      <c r="AA224" s="10"/>
      <c r="AB224" s="10" t="s">
        <v>987</v>
      </c>
      <c r="AC224" s="32" t="s">
        <v>91</v>
      </c>
      <c r="AD224" s="10"/>
      <c r="AE224" s="10"/>
      <c r="AF224" s="10" t="s">
        <v>59</v>
      </c>
      <c r="AG224" s="10"/>
      <c r="AH224" s="10"/>
      <c r="AI224" s="24">
        <v>0.33333333333333331</v>
      </c>
      <c r="AJ224" s="24">
        <v>0.70833333333333337</v>
      </c>
    </row>
    <row r="225" spans="1:34" ht="14.25" customHeight="1">
      <c r="A225">
        <v>437</v>
      </c>
      <c r="B225">
        <v>10695589</v>
      </c>
      <c r="D225" s="10" t="s">
        <v>1010</v>
      </c>
      <c r="E225" s="10" t="s">
        <v>1011</v>
      </c>
      <c r="F225" s="1" t="str">
        <f>D225&amp;" "&amp;E225</f>
        <v>วรากร เพร็ชโต</v>
      </c>
      <c r="S225" s="3" t="s">
        <v>922</v>
      </c>
      <c r="AA225" s="10"/>
      <c r="AB225" s="10" t="s">
        <v>1012</v>
      </c>
      <c r="AC225" s="32" t="s">
        <v>91</v>
      </c>
    </row>
    <row r="226" spans="1:34" ht="14.25" customHeight="1">
      <c r="A226">
        <v>387</v>
      </c>
      <c r="B226" s="1">
        <v>10685985</v>
      </c>
      <c r="C226" s="1" t="s">
        <v>39</v>
      </c>
      <c r="D226" s="1" t="s">
        <v>1013</v>
      </c>
      <c r="E226" s="1" t="s">
        <v>1014</v>
      </c>
      <c r="F226" s="1" t="str">
        <f>D226&amp;" "&amp;E226</f>
        <v>ลัลภัสรินทร์ นิษฐาร์ธารากุล</v>
      </c>
      <c r="G226" s="1" t="s">
        <v>1015</v>
      </c>
      <c r="H226" s="1" t="s">
        <v>1016</v>
      </c>
      <c r="I226" s="1">
        <v>10685985</v>
      </c>
      <c r="J226" s="1" t="s">
        <v>45</v>
      </c>
      <c r="K226" s="2">
        <v>46145</v>
      </c>
      <c r="L226" s="1" t="s">
        <v>66</v>
      </c>
      <c r="M226" s="1" t="s">
        <v>48</v>
      </c>
      <c r="N226" s="1" t="s">
        <v>98</v>
      </c>
      <c r="O226" s="2">
        <v>46060</v>
      </c>
      <c r="P226" s="1" t="s">
        <v>100</v>
      </c>
      <c r="Q226" s="1">
        <v>10358597</v>
      </c>
      <c r="R226" s="1" t="s">
        <v>937</v>
      </c>
      <c r="S226" s="3" t="s">
        <v>922</v>
      </c>
      <c r="T226" s="1" t="s">
        <v>52</v>
      </c>
      <c r="U226" s="1" t="s">
        <v>53</v>
      </c>
      <c r="V226" s="1" t="s">
        <v>54</v>
      </c>
      <c r="W226" s="1" t="s">
        <v>55</v>
      </c>
      <c r="X226" s="1">
        <v>1</v>
      </c>
      <c r="Y226" s="10" t="s">
        <v>923</v>
      </c>
      <c r="Z226" s="10">
        <f>_xlfn.XLOOKUP(B226,skill_metrix!A:A,skill_metrix!C:C,0)</f>
        <v>0</v>
      </c>
      <c r="AA226" s="10"/>
      <c r="AB226" s="10" t="s">
        <v>1012</v>
      </c>
      <c r="AC226" s="32" t="s">
        <v>69</v>
      </c>
      <c r="AD226" s="10"/>
      <c r="AE226" s="10"/>
      <c r="AF226" s="10"/>
      <c r="AG226" s="10"/>
      <c r="AH226" s="10"/>
    </row>
    <row r="227" spans="1:34" ht="14.25" customHeight="1">
      <c r="A227">
        <v>87</v>
      </c>
      <c r="B227" s="1">
        <v>10500405</v>
      </c>
      <c r="C227" s="1" t="s">
        <v>60</v>
      </c>
      <c r="D227" s="1" t="s">
        <v>1017</v>
      </c>
      <c r="E227" s="1" t="s">
        <v>1018</v>
      </c>
      <c r="F227" s="1" t="str">
        <f>D227&amp;" "&amp;E227</f>
        <v>รุจิรา สอนดี</v>
      </c>
      <c r="G227" s="1" t="s">
        <v>1019</v>
      </c>
      <c r="H227" s="1" t="s">
        <v>1020</v>
      </c>
      <c r="I227" s="1">
        <v>10500405</v>
      </c>
      <c r="J227" s="1" t="s">
        <v>45</v>
      </c>
      <c r="K227" s="2">
        <v>44207</v>
      </c>
      <c r="L227" s="1" t="s">
        <v>66</v>
      </c>
      <c r="M227" s="1" t="s">
        <v>48</v>
      </c>
      <c r="N227" s="1" t="s">
        <v>48</v>
      </c>
      <c r="O227" s="1" t="s">
        <v>963</v>
      </c>
      <c r="P227" s="1" t="s">
        <v>963</v>
      </c>
      <c r="Q227" s="1">
        <v>10358628</v>
      </c>
      <c r="R227" s="1" t="s">
        <v>981</v>
      </c>
      <c r="S227" s="3" t="s">
        <v>922</v>
      </c>
      <c r="T227" s="1" t="s">
        <v>52</v>
      </c>
      <c r="U227" s="1" t="s">
        <v>53</v>
      </c>
      <c r="V227" s="1" t="s">
        <v>54</v>
      </c>
      <c r="W227" s="1" t="s">
        <v>55</v>
      </c>
      <c r="X227" s="1">
        <v>1</v>
      </c>
      <c r="Y227" s="10" t="s">
        <v>923</v>
      </c>
      <c r="Z227" s="10">
        <f>_xlfn.XLOOKUP(B227,skill_metrix!A:A,skill_metrix!C:C,0)</f>
        <v>0</v>
      </c>
      <c r="AA227" s="10"/>
      <c r="AB227" s="10" t="s">
        <v>1012</v>
      </c>
      <c r="AC227" s="32" t="s">
        <v>84</v>
      </c>
      <c r="AD227" s="10"/>
      <c r="AE227" s="10"/>
      <c r="AF227" s="10"/>
      <c r="AG227" s="10"/>
      <c r="AH227" s="10"/>
    </row>
    <row r="228" spans="1:34" ht="14.25" customHeight="1">
      <c r="A228">
        <v>20</v>
      </c>
      <c r="B228" s="1">
        <v>10338152</v>
      </c>
      <c r="C228" s="1" t="s">
        <v>92</v>
      </c>
      <c r="D228" s="1" t="s">
        <v>1021</v>
      </c>
      <c r="E228" s="1" t="s">
        <v>1022</v>
      </c>
      <c r="F228" s="1" t="str">
        <f>D228&amp;" "&amp;E228</f>
        <v>มวน รวดเร็ว</v>
      </c>
      <c r="G228" s="1" t="s">
        <v>1023</v>
      </c>
      <c r="H228" s="1" t="s">
        <v>1024</v>
      </c>
      <c r="I228" s="1" t="s">
        <v>1025</v>
      </c>
      <c r="J228" s="1" t="s">
        <v>45</v>
      </c>
      <c r="K228" s="2">
        <v>43136</v>
      </c>
      <c r="L228" s="1" t="s">
        <v>47</v>
      </c>
      <c r="M228" s="1" t="s">
        <v>48</v>
      </c>
      <c r="N228" s="1" t="s">
        <v>48</v>
      </c>
      <c r="O228" s="1" t="s">
        <v>1026</v>
      </c>
      <c r="P228" s="1" t="s">
        <v>1026</v>
      </c>
      <c r="Q228" s="1">
        <v>10358618</v>
      </c>
      <c r="R228" s="1" t="s">
        <v>1027</v>
      </c>
      <c r="S228" s="3" t="s">
        <v>922</v>
      </c>
      <c r="T228" s="1" t="s">
        <v>52</v>
      </c>
      <c r="U228" s="1" t="s">
        <v>53</v>
      </c>
      <c r="V228" s="1" t="s">
        <v>54</v>
      </c>
      <c r="W228" s="1" t="s">
        <v>55</v>
      </c>
      <c r="X228" s="1">
        <v>1</v>
      </c>
      <c r="Y228" s="10" t="s">
        <v>923</v>
      </c>
      <c r="Z228" s="10">
        <f>_xlfn.XLOOKUP(B228,skill_metrix!A:A,skill_metrix!C:C,0)</f>
        <v>0</v>
      </c>
      <c r="AA228" s="10"/>
      <c r="AB228" s="10" t="s">
        <v>1012</v>
      </c>
      <c r="AC228" s="32" t="s">
        <v>138</v>
      </c>
      <c r="AD228" s="10"/>
      <c r="AE228" s="10"/>
      <c r="AF228" s="10"/>
      <c r="AG228" s="10"/>
      <c r="AH228" s="10"/>
    </row>
    <row r="229" spans="1:34" ht="14.25" customHeight="1">
      <c r="A229">
        <v>18</v>
      </c>
      <c r="B229" s="1">
        <v>10328604</v>
      </c>
      <c r="C229" s="1" t="s">
        <v>39</v>
      </c>
      <c r="D229" s="1" t="s">
        <v>1028</v>
      </c>
      <c r="E229" s="1" t="s">
        <v>1029</v>
      </c>
      <c r="F229" s="1" t="str">
        <f>D229&amp;" "&amp;E229</f>
        <v>ปุณยนุช พรหมมา</v>
      </c>
      <c r="G229" s="1" t="s">
        <v>1030</v>
      </c>
      <c r="H229" s="1" t="s">
        <v>1031</v>
      </c>
      <c r="I229" s="1" t="s">
        <v>1032</v>
      </c>
      <c r="J229" s="1" t="s">
        <v>45</v>
      </c>
      <c r="K229" s="2">
        <v>43102</v>
      </c>
      <c r="L229" s="1" t="s">
        <v>47</v>
      </c>
      <c r="M229" s="1" t="s">
        <v>48</v>
      </c>
      <c r="N229" s="1" t="s">
        <v>48</v>
      </c>
      <c r="O229" s="1" t="s">
        <v>674</v>
      </c>
      <c r="P229" s="1" t="s">
        <v>674</v>
      </c>
      <c r="Q229" s="1">
        <v>10358618</v>
      </c>
      <c r="R229" s="1" t="s">
        <v>1027</v>
      </c>
      <c r="S229" s="3" t="s">
        <v>922</v>
      </c>
      <c r="T229" s="1" t="s">
        <v>52</v>
      </c>
      <c r="U229" s="1" t="s">
        <v>53</v>
      </c>
      <c r="V229" s="1" t="s">
        <v>54</v>
      </c>
      <c r="W229" s="1" t="s">
        <v>55</v>
      </c>
      <c r="X229" s="1">
        <v>1</v>
      </c>
      <c r="Y229" s="10" t="s">
        <v>923</v>
      </c>
      <c r="Z229" s="10">
        <f>_xlfn.XLOOKUP(B229,skill_metrix!A:A,skill_metrix!C:C,0)</f>
        <v>0</v>
      </c>
      <c r="AA229" s="10"/>
      <c r="AB229" s="10" t="s">
        <v>1012</v>
      </c>
      <c r="AC229" s="32" t="s">
        <v>102</v>
      </c>
      <c r="AD229" s="10"/>
      <c r="AE229" s="10"/>
      <c r="AF229" s="10"/>
      <c r="AG229" s="10"/>
      <c r="AH229" s="10"/>
    </row>
    <row r="230" spans="1:34" ht="14.25" customHeight="1">
      <c r="A230">
        <v>285</v>
      </c>
      <c r="B230" s="1">
        <v>10661966</v>
      </c>
      <c r="C230" s="1" t="s">
        <v>39</v>
      </c>
      <c r="D230" s="1" t="s">
        <v>1033</v>
      </c>
      <c r="E230" s="1" t="s">
        <v>1034</v>
      </c>
      <c r="F230" s="1" t="str">
        <f>D230&amp;" "&amp;E230</f>
        <v>ปาริฉัตร หัสดี</v>
      </c>
      <c r="G230" s="1" t="s">
        <v>1035</v>
      </c>
      <c r="H230" s="1" t="s">
        <v>1036</v>
      </c>
      <c r="I230" s="1">
        <v>10661966</v>
      </c>
      <c r="J230" s="1" t="s">
        <v>45</v>
      </c>
      <c r="K230" s="1" t="s">
        <v>711</v>
      </c>
      <c r="L230" s="1" t="s">
        <v>66</v>
      </c>
      <c r="M230" s="1" t="s">
        <v>48</v>
      </c>
      <c r="N230" s="1" t="s">
        <v>48</v>
      </c>
      <c r="O230" s="1" t="s">
        <v>712</v>
      </c>
      <c r="P230" s="1" t="s">
        <v>712</v>
      </c>
      <c r="Q230" s="1">
        <v>10358629</v>
      </c>
      <c r="R230" s="1" t="s">
        <v>944</v>
      </c>
      <c r="S230" s="3" t="s">
        <v>922</v>
      </c>
      <c r="T230" s="1" t="s">
        <v>52</v>
      </c>
      <c r="U230" s="1" t="s">
        <v>53</v>
      </c>
      <c r="V230" s="1" t="s">
        <v>54</v>
      </c>
      <c r="W230" s="1" t="s">
        <v>55</v>
      </c>
      <c r="X230" s="1">
        <v>1</v>
      </c>
      <c r="Y230" s="10" t="s">
        <v>923</v>
      </c>
      <c r="Z230" s="10">
        <f>_xlfn.XLOOKUP(B230,skill_metrix!A:A,skill_metrix!C:C,0)</f>
        <v>0</v>
      </c>
      <c r="AA230" s="10"/>
      <c r="AB230" s="10" t="s">
        <v>1012</v>
      </c>
      <c r="AC230" s="32" t="s">
        <v>212</v>
      </c>
      <c r="AD230" s="10"/>
      <c r="AE230" s="10"/>
      <c r="AF230" s="10"/>
      <c r="AG230" s="10"/>
      <c r="AH230" s="10"/>
    </row>
    <row r="231" spans="1:34" ht="14.25" customHeight="1">
      <c r="A231">
        <v>32</v>
      </c>
      <c r="B231" s="1">
        <v>10359845</v>
      </c>
      <c r="C231" s="1" t="s">
        <v>39</v>
      </c>
      <c r="D231" s="1" t="s">
        <v>1037</v>
      </c>
      <c r="E231" s="1" t="s">
        <v>1038</v>
      </c>
      <c r="F231" s="1" t="str">
        <f>D231&amp;" "&amp;E231</f>
        <v>ปารณีย์ เปรมปรีดา</v>
      </c>
      <c r="G231" s="1" t="s">
        <v>1039</v>
      </c>
      <c r="H231" s="1" t="s">
        <v>1040</v>
      </c>
      <c r="I231" s="1">
        <v>10359845</v>
      </c>
      <c r="J231" s="1" t="s">
        <v>45</v>
      </c>
      <c r="K231" s="1" t="s">
        <v>1041</v>
      </c>
      <c r="L231" s="1" t="s">
        <v>66</v>
      </c>
      <c r="M231" s="1" t="s">
        <v>48</v>
      </c>
      <c r="N231" s="1" t="s">
        <v>48</v>
      </c>
      <c r="O231" s="1" t="s">
        <v>1042</v>
      </c>
      <c r="P231" s="1" t="s">
        <v>1042</v>
      </c>
      <c r="Q231" s="1">
        <v>10358597</v>
      </c>
      <c r="R231" s="1" t="s">
        <v>937</v>
      </c>
      <c r="S231" s="3" t="s">
        <v>922</v>
      </c>
      <c r="T231" s="1" t="s">
        <v>52</v>
      </c>
      <c r="U231" s="1" t="s">
        <v>53</v>
      </c>
      <c r="V231" s="1" t="s">
        <v>54</v>
      </c>
      <c r="W231" s="1" t="s">
        <v>55</v>
      </c>
      <c r="X231" s="1">
        <v>1</v>
      </c>
      <c r="Y231" s="10" t="s">
        <v>923</v>
      </c>
      <c r="Z231" s="10">
        <f>_xlfn.XLOOKUP(B231,skill_metrix!A:A,skill_metrix!C:C,0)</f>
        <v>0</v>
      </c>
      <c r="AA231" s="10"/>
      <c r="AB231" s="10" t="s">
        <v>1012</v>
      </c>
      <c r="AC231" s="32" t="s">
        <v>91</v>
      </c>
      <c r="AD231" s="10"/>
      <c r="AE231" s="10"/>
      <c r="AF231" s="10"/>
      <c r="AG231" s="10"/>
      <c r="AH231" s="10"/>
    </row>
    <row r="232" spans="1:34" ht="14.25" customHeight="1">
      <c r="A232">
        <v>290</v>
      </c>
      <c r="B232" s="1">
        <v>10664048</v>
      </c>
      <c r="C232" s="1" t="s">
        <v>92</v>
      </c>
      <c r="D232" s="1" t="s">
        <v>1043</v>
      </c>
      <c r="E232" s="1" t="s">
        <v>1044</v>
      </c>
      <c r="F232" s="1" t="str">
        <f>D232&amp;" "&amp;E232</f>
        <v>ณัฐวุฒิ วงษ์ศรี</v>
      </c>
      <c r="G232" s="1" t="s">
        <v>1045</v>
      </c>
      <c r="H232" s="1" t="s">
        <v>1046</v>
      </c>
      <c r="I232" s="1">
        <v>10664048</v>
      </c>
      <c r="J232" s="1" t="s">
        <v>45</v>
      </c>
      <c r="K232" s="2">
        <v>45878</v>
      </c>
      <c r="L232" s="1" t="s">
        <v>66</v>
      </c>
      <c r="M232" s="1" t="s">
        <v>48</v>
      </c>
      <c r="N232" s="1" t="s">
        <v>48</v>
      </c>
      <c r="O232" s="2">
        <v>46143</v>
      </c>
      <c r="P232" s="2">
        <v>46143</v>
      </c>
      <c r="Q232" s="1">
        <v>10358597</v>
      </c>
      <c r="R232" s="1" t="s">
        <v>937</v>
      </c>
      <c r="S232" s="3" t="s">
        <v>922</v>
      </c>
      <c r="T232" s="1" t="s">
        <v>52</v>
      </c>
      <c r="U232" s="1" t="s">
        <v>53</v>
      </c>
      <c r="V232" s="1" t="s">
        <v>54</v>
      </c>
      <c r="W232" s="1" t="s">
        <v>55</v>
      </c>
      <c r="X232" s="1">
        <v>1</v>
      </c>
      <c r="Y232" s="10" t="s">
        <v>923</v>
      </c>
      <c r="Z232" s="10">
        <f>_xlfn.XLOOKUP(B232,skill_metrix!A:A,skill_metrix!C:C,0)</f>
        <v>0</v>
      </c>
      <c r="AA232" s="10"/>
      <c r="AB232" s="10" t="s">
        <v>1012</v>
      </c>
      <c r="AC232" s="32" t="s">
        <v>76</v>
      </c>
      <c r="AD232" s="10"/>
      <c r="AE232" s="10"/>
      <c r="AF232" s="10"/>
      <c r="AG232" s="10"/>
      <c r="AH232" s="10"/>
    </row>
    <row r="233" spans="1:34" ht="14.25" customHeight="1">
      <c r="A233">
        <v>283</v>
      </c>
      <c r="B233" s="1">
        <v>10661918</v>
      </c>
      <c r="C233" s="1" t="s">
        <v>39</v>
      </c>
      <c r="D233" s="1" t="s">
        <v>1047</v>
      </c>
      <c r="E233" s="1" t="s">
        <v>1048</v>
      </c>
      <c r="F233" s="1" t="str">
        <f>D233&amp;" "&amp;E233</f>
        <v>เฉลิมพร จักรักษา</v>
      </c>
      <c r="G233" s="1" t="s">
        <v>1049</v>
      </c>
      <c r="H233" s="1" t="s">
        <v>1050</v>
      </c>
      <c r="I233" s="1">
        <v>10661918</v>
      </c>
      <c r="J233" s="1" t="s">
        <v>45</v>
      </c>
      <c r="K233" s="1" t="s">
        <v>711</v>
      </c>
      <c r="L233" s="1" t="s">
        <v>66</v>
      </c>
      <c r="M233" s="1" t="s">
        <v>48</v>
      </c>
      <c r="N233" s="1" t="s">
        <v>48</v>
      </c>
      <c r="O233" s="1" t="s">
        <v>712</v>
      </c>
      <c r="P233" s="1" t="s">
        <v>712</v>
      </c>
      <c r="Q233" s="1">
        <v>10358597</v>
      </c>
      <c r="R233" s="1" t="s">
        <v>937</v>
      </c>
      <c r="S233" s="3" t="s">
        <v>922</v>
      </c>
      <c r="T233" s="1" t="s">
        <v>52</v>
      </c>
      <c r="U233" s="1" t="s">
        <v>53</v>
      </c>
      <c r="V233" s="1" t="s">
        <v>54</v>
      </c>
      <c r="W233" s="1" t="s">
        <v>55</v>
      </c>
      <c r="X233" s="1">
        <v>1</v>
      </c>
      <c r="Y233" s="10" t="s">
        <v>923</v>
      </c>
      <c r="Z233" s="10" t="str">
        <f>_xlfn.XLOOKUP(B233,skill_metrix!A:A,skill_metrix!C:C,0)</f>
        <v>สไลด์</v>
      </c>
      <c r="AA233" s="10"/>
      <c r="AB233" s="10" t="s">
        <v>1012</v>
      </c>
      <c r="AC233" s="32" t="s">
        <v>91</v>
      </c>
      <c r="AD233" s="10"/>
      <c r="AE233" s="10"/>
      <c r="AF233" s="10"/>
      <c r="AG233" s="10"/>
      <c r="AH233" s="10"/>
    </row>
    <row r="234" spans="1:34" ht="14.25" customHeight="1">
      <c r="A234">
        <v>57</v>
      </c>
      <c r="B234" s="1">
        <v>10407322</v>
      </c>
      <c r="C234" s="1" t="s">
        <v>39</v>
      </c>
      <c r="D234" s="1" t="s">
        <v>1051</v>
      </c>
      <c r="E234" s="1" t="s">
        <v>1052</v>
      </c>
      <c r="F234" s="1" t="str">
        <f>D234&amp;" "&amp;E234</f>
        <v>จิราภรณ์ เรืองชม</v>
      </c>
      <c r="G234" s="1" t="s">
        <v>1053</v>
      </c>
      <c r="H234" s="1" t="s">
        <v>1054</v>
      </c>
      <c r="I234" s="1" t="s">
        <v>1055</v>
      </c>
      <c r="J234" s="1" t="s">
        <v>45</v>
      </c>
      <c r="K234" s="1" t="s">
        <v>615</v>
      </c>
      <c r="L234" s="1" t="s">
        <v>47</v>
      </c>
      <c r="M234" s="1" t="s">
        <v>48</v>
      </c>
      <c r="N234" s="1" t="s">
        <v>48</v>
      </c>
      <c r="O234" s="1" t="s">
        <v>616</v>
      </c>
      <c r="P234" s="1" t="s">
        <v>616</v>
      </c>
      <c r="Q234" s="1">
        <v>10358645</v>
      </c>
      <c r="R234" s="1" t="s">
        <v>1056</v>
      </c>
      <c r="S234" s="3" t="s">
        <v>922</v>
      </c>
      <c r="T234" s="1" t="s">
        <v>52</v>
      </c>
      <c r="U234" s="1" t="s">
        <v>53</v>
      </c>
      <c r="V234" s="1" t="s">
        <v>54</v>
      </c>
      <c r="W234" s="1" t="s">
        <v>55</v>
      </c>
      <c r="X234" s="1">
        <v>1</v>
      </c>
      <c r="Y234" s="10" t="s">
        <v>923</v>
      </c>
      <c r="Z234" s="10">
        <f>_xlfn.XLOOKUP(B234,skill_metrix!A:A,skill_metrix!C:C,0)</f>
        <v>0</v>
      </c>
      <c r="AA234" s="10"/>
      <c r="AB234" s="10" t="s">
        <v>1012</v>
      </c>
      <c r="AC234" s="32" t="s">
        <v>138</v>
      </c>
      <c r="AD234" s="10"/>
      <c r="AE234" s="10"/>
      <c r="AF234" s="10"/>
      <c r="AG234" s="10"/>
      <c r="AH234" s="10"/>
    </row>
    <row r="235" spans="1:34" ht="14.25" customHeight="1">
      <c r="A235">
        <v>377</v>
      </c>
      <c r="B235" s="1">
        <v>10685895</v>
      </c>
      <c r="C235" s="1" t="s">
        <v>762</v>
      </c>
      <c r="D235" s="1" t="s">
        <v>1057</v>
      </c>
      <c r="E235" s="1" t="s">
        <v>631</v>
      </c>
      <c r="F235" s="1" t="str">
        <f>D235&amp;" "&amp;E235</f>
        <v>WIN THANDA MYINT -</v>
      </c>
      <c r="G235" s="1" t="s">
        <v>1057</v>
      </c>
      <c r="H235" s="1" t="s">
        <v>631</v>
      </c>
      <c r="I235" s="1">
        <v>10685895</v>
      </c>
      <c r="J235" s="1" t="s">
        <v>45</v>
      </c>
      <c r="K235" s="2">
        <v>46145</v>
      </c>
      <c r="L235" s="1" t="s">
        <v>66</v>
      </c>
      <c r="M235" s="1" t="s">
        <v>48</v>
      </c>
      <c r="N235" s="1" t="s">
        <v>98</v>
      </c>
      <c r="O235" s="2">
        <v>46060</v>
      </c>
      <c r="P235" s="1" t="s">
        <v>100</v>
      </c>
      <c r="Q235" s="1">
        <v>10358597</v>
      </c>
      <c r="R235" s="1" t="s">
        <v>937</v>
      </c>
      <c r="S235" s="3" t="s">
        <v>922</v>
      </c>
      <c r="T235" s="1" t="s">
        <v>52</v>
      </c>
      <c r="U235" s="1" t="s">
        <v>53</v>
      </c>
      <c r="V235" s="1" t="s">
        <v>54</v>
      </c>
      <c r="W235" s="1" t="s">
        <v>632</v>
      </c>
      <c r="X235" s="1">
        <v>1</v>
      </c>
      <c r="Y235" s="10" t="s">
        <v>923</v>
      </c>
      <c r="Z235" s="10">
        <f>_xlfn.XLOOKUP(B235,skill_metrix!A:A,skill_metrix!C:C,0)</f>
        <v>0</v>
      </c>
      <c r="AA235" s="10"/>
      <c r="AB235" s="10" t="s">
        <v>1012</v>
      </c>
      <c r="AC235" s="32" t="s">
        <v>84</v>
      </c>
      <c r="AD235" s="10"/>
      <c r="AE235" s="10"/>
      <c r="AF235" s="10"/>
      <c r="AG235" s="10"/>
      <c r="AH235" s="10"/>
    </row>
    <row r="236" spans="1:34" ht="14.25" customHeight="1">
      <c r="A236">
        <v>138</v>
      </c>
      <c r="B236" s="1">
        <v>10550759</v>
      </c>
      <c r="C236" s="1" t="s">
        <v>762</v>
      </c>
      <c r="D236" s="1" t="s">
        <v>1058</v>
      </c>
      <c r="E236" s="1" t="s">
        <v>1059</v>
      </c>
      <c r="F236" s="1" t="str">
        <f>D236&amp;" "&amp;E236</f>
        <v>SROS THAN</v>
      </c>
      <c r="G236" s="1" t="s">
        <v>1058</v>
      </c>
      <c r="H236" s="1" t="s">
        <v>1059</v>
      </c>
      <c r="I236" s="1">
        <v>10550759</v>
      </c>
      <c r="J236" s="1" t="s">
        <v>45</v>
      </c>
      <c r="K236" s="2">
        <v>45264</v>
      </c>
      <c r="L236" s="1" t="s">
        <v>66</v>
      </c>
      <c r="M236" s="1" t="s">
        <v>48</v>
      </c>
      <c r="N236" s="1" t="s">
        <v>48</v>
      </c>
      <c r="O236" s="2">
        <v>45177</v>
      </c>
      <c r="P236" s="2">
        <v>45177</v>
      </c>
      <c r="Q236" s="1">
        <v>10358597</v>
      </c>
      <c r="R236" s="1" t="s">
        <v>937</v>
      </c>
      <c r="S236" s="3" t="s">
        <v>922</v>
      </c>
      <c r="T236" s="1" t="s">
        <v>52</v>
      </c>
      <c r="U236" s="1" t="s">
        <v>53</v>
      </c>
      <c r="V236" s="1" t="s">
        <v>54</v>
      </c>
      <c r="W236" s="1" t="s">
        <v>418</v>
      </c>
      <c r="X236" s="1">
        <v>1</v>
      </c>
      <c r="Y236" s="10" t="s">
        <v>923</v>
      </c>
      <c r="Z236" s="10">
        <f>_xlfn.XLOOKUP(B236,skill_metrix!A:A,skill_metrix!C:C,0)</f>
        <v>0</v>
      </c>
      <c r="AA236" s="10"/>
      <c r="AB236" s="10" t="s">
        <v>1012</v>
      </c>
      <c r="AC236" s="32" t="s">
        <v>76</v>
      </c>
      <c r="AD236" s="10"/>
      <c r="AE236" s="10"/>
      <c r="AF236" s="10"/>
      <c r="AG236" s="10"/>
      <c r="AH236" s="10"/>
    </row>
    <row r="237" spans="1:34" ht="14.25" customHeight="1">
      <c r="A237">
        <v>328</v>
      </c>
      <c r="B237" s="1">
        <v>10668218</v>
      </c>
      <c r="C237" s="1" t="s">
        <v>415</v>
      </c>
      <c r="D237" s="1" t="s">
        <v>1060</v>
      </c>
      <c r="E237" s="1" t="s">
        <v>631</v>
      </c>
      <c r="F237" s="1" t="str">
        <f>D237&amp;" "&amp;E237</f>
        <v>SAW NYAN LIN THEIN -</v>
      </c>
      <c r="G237" s="1" t="s">
        <v>1060</v>
      </c>
      <c r="H237" s="1" t="s">
        <v>631</v>
      </c>
      <c r="I237" s="1">
        <v>10668218</v>
      </c>
      <c r="J237" s="1" t="s">
        <v>45</v>
      </c>
      <c r="K237" s="2">
        <v>45667</v>
      </c>
      <c r="L237" s="1" t="s">
        <v>66</v>
      </c>
      <c r="M237" s="1" t="s">
        <v>48</v>
      </c>
      <c r="N237" s="1" t="s">
        <v>48</v>
      </c>
      <c r="O237" s="1" t="s">
        <v>936</v>
      </c>
      <c r="P237" s="1" t="s">
        <v>936</v>
      </c>
      <c r="Q237" s="1">
        <v>10358597</v>
      </c>
      <c r="R237" s="1" t="s">
        <v>937</v>
      </c>
      <c r="S237" s="3" t="s">
        <v>922</v>
      </c>
      <c r="T237" s="1" t="s">
        <v>52</v>
      </c>
      <c r="U237" s="1" t="s">
        <v>53</v>
      </c>
      <c r="V237" s="1" t="s">
        <v>54</v>
      </c>
      <c r="W237" s="1" t="s">
        <v>632</v>
      </c>
      <c r="X237" s="1">
        <v>1</v>
      </c>
      <c r="Y237" s="10" t="s">
        <v>923</v>
      </c>
      <c r="Z237" s="10">
        <f>_xlfn.XLOOKUP(B237,skill_metrix!A:A,skill_metrix!C:C,0)</f>
        <v>0</v>
      </c>
      <c r="AA237" s="10"/>
      <c r="AB237" s="10" t="s">
        <v>1012</v>
      </c>
      <c r="AC237" s="32" t="s">
        <v>69</v>
      </c>
      <c r="AD237" s="10"/>
      <c r="AE237" s="10"/>
      <c r="AF237" s="10"/>
      <c r="AG237" s="10"/>
      <c r="AH237" s="10"/>
    </row>
    <row r="238" spans="1:34" ht="14.25" customHeight="1">
      <c r="A238">
        <v>200</v>
      </c>
      <c r="B238" s="1">
        <v>10627576</v>
      </c>
      <c r="C238" s="1" t="s">
        <v>415</v>
      </c>
      <c r="D238" s="1" t="s">
        <v>1061</v>
      </c>
      <c r="E238" s="1" t="s">
        <v>1062</v>
      </c>
      <c r="F238" s="1" t="str">
        <f>D238&amp;" "&amp;E238</f>
        <v>SARO REN</v>
      </c>
      <c r="G238" s="1" t="s">
        <v>1061</v>
      </c>
      <c r="H238" s="1" t="s">
        <v>1062</v>
      </c>
      <c r="I238" s="1">
        <v>10627576</v>
      </c>
      <c r="J238" s="1" t="s">
        <v>45</v>
      </c>
      <c r="K238" s="1" t="s">
        <v>743</v>
      </c>
      <c r="L238" s="1" t="s">
        <v>66</v>
      </c>
      <c r="M238" s="1" t="s">
        <v>48</v>
      </c>
      <c r="N238" s="1" t="s">
        <v>48</v>
      </c>
      <c r="O238" s="1" t="s">
        <v>744</v>
      </c>
      <c r="P238" s="1" t="s">
        <v>744</v>
      </c>
      <c r="Q238" s="1">
        <v>10358597</v>
      </c>
      <c r="R238" s="1" t="s">
        <v>937</v>
      </c>
      <c r="S238" s="3" t="s">
        <v>922</v>
      </c>
      <c r="T238" s="1" t="s">
        <v>52</v>
      </c>
      <c r="U238" s="1" t="s">
        <v>53</v>
      </c>
      <c r="V238" s="1" t="s">
        <v>54</v>
      </c>
      <c r="W238" s="1" t="s">
        <v>418</v>
      </c>
      <c r="X238" s="1">
        <v>1</v>
      </c>
      <c r="Y238" s="10" t="s">
        <v>923</v>
      </c>
      <c r="Z238" s="10">
        <f>_xlfn.XLOOKUP(B238,skill_metrix!A:A,skill_metrix!C:C,0)</f>
        <v>0</v>
      </c>
      <c r="AA238" s="10"/>
      <c r="AB238" s="10" t="s">
        <v>1012</v>
      </c>
      <c r="AC238" s="32" t="s">
        <v>91</v>
      </c>
      <c r="AD238" s="10"/>
      <c r="AE238" s="10"/>
      <c r="AF238" s="10"/>
      <c r="AG238" s="10"/>
      <c r="AH238" s="10"/>
    </row>
    <row r="239" spans="1:34" ht="14.25" customHeight="1">
      <c r="A239">
        <v>288</v>
      </c>
      <c r="B239" s="1">
        <v>10662725</v>
      </c>
      <c r="C239" s="1" t="s">
        <v>627</v>
      </c>
      <c r="D239" s="1" t="s">
        <v>1063</v>
      </c>
      <c r="E239" s="1" t="s">
        <v>1064</v>
      </c>
      <c r="F239" s="1" t="str">
        <f>D239&amp;" "&amp;E239</f>
        <v>HONG KHEANG</v>
      </c>
      <c r="G239" s="1" t="s">
        <v>1063</v>
      </c>
      <c r="H239" s="1" t="s">
        <v>1064</v>
      </c>
      <c r="I239" s="1">
        <v>10662725</v>
      </c>
      <c r="J239" s="1" t="s">
        <v>45</v>
      </c>
      <c r="K239" s="2">
        <v>45666</v>
      </c>
      <c r="L239" s="1" t="s">
        <v>66</v>
      </c>
      <c r="M239" s="1" t="s">
        <v>48</v>
      </c>
      <c r="N239" s="1" t="s">
        <v>48</v>
      </c>
      <c r="O239" s="1" t="s">
        <v>1065</v>
      </c>
      <c r="P239" s="1" t="s">
        <v>1065</v>
      </c>
      <c r="Q239" s="1">
        <v>10358597</v>
      </c>
      <c r="R239" s="1" t="s">
        <v>937</v>
      </c>
      <c r="S239" s="3" t="s">
        <v>922</v>
      </c>
      <c r="T239" s="1" t="s">
        <v>52</v>
      </c>
      <c r="U239" s="1" t="s">
        <v>53</v>
      </c>
      <c r="V239" s="1" t="s">
        <v>54</v>
      </c>
      <c r="W239" s="1" t="s">
        <v>418</v>
      </c>
      <c r="X239" s="1">
        <v>1</v>
      </c>
      <c r="Y239" s="10" t="s">
        <v>923</v>
      </c>
      <c r="Z239" s="10" t="str">
        <f>_xlfn.XLOOKUP(B239,skill_metrix!A:A,skill_metrix!C:C,0)</f>
        <v>สไลด์</v>
      </c>
      <c r="AA239" s="10"/>
      <c r="AB239" s="10" t="s">
        <v>1012</v>
      </c>
      <c r="AC239" s="32" t="s">
        <v>58</v>
      </c>
      <c r="AD239" s="10"/>
      <c r="AE239" s="10"/>
      <c r="AF239" s="10"/>
      <c r="AG239" s="10"/>
      <c r="AH239" s="10"/>
    </row>
    <row r="240" spans="1:34" ht="14.25" customHeight="1">
      <c r="A240">
        <v>289</v>
      </c>
      <c r="B240" s="1">
        <v>10662755</v>
      </c>
      <c r="C240" s="1" t="s">
        <v>415</v>
      </c>
      <c r="D240" s="1" t="s">
        <v>1066</v>
      </c>
      <c r="E240" s="1" t="s">
        <v>1067</v>
      </c>
      <c r="F240" s="1" t="str">
        <f>D240&amp;" "&amp;E240</f>
        <v>BUNTHONG KOK</v>
      </c>
      <c r="G240" s="1" t="s">
        <v>1066</v>
      </c>
      <c r="H240" s="1" t="s">
        <v>1067</v>
      </c>
      <c r="I240" s="1">
        <v>10662755</v>
      </c>
      <c r="J240" s="1" t="s">
        <v>45</v>
      </c>
      <c r="K240" s="2">
        <v>45666</v>
      </c>
      <c r="L240" s="1" t="s">
        <v>66</v>
      </c>
      <c r="M240" s="1" t="s">
        <v>48</v>
      </c>
      <c r="N240" s="1" t="s">
        <v>48</v>
      </c>
      <c r="O240" s="1" t="s">
        <v>1065</v>
      </c>
      <c r="P240" s="1" t="s">
        <v>1065</v>
      </c>
      <c r="Q240" s="1">
        <v>10358597</v>
      </c>
      <c r="R240" s="1" t="s">
        <v>937</v>
      </c>
      <c r="S240" s="3" t="s">
        <v>922</v>
      </c>
      <c r="T240" s="1" t="s">
        <v>52</v>
      </c>
      <c r="U240" s="1" t="s">
        <v>53</v>
      </c>
      <c r="V240" s="1" t="s">
        <v>54</v>
      </c>
      <c r="W240" s="1" t="s">
        <v>418</v>
      </c>
      <c r="X240" s="1">
        <v>1</v>
      </c>
      <c r="Y240" s="10" t="s">
        <v>923</v>
      </c>
      <c r="Z240" s="10">
        <f>_xlfn.XLOOKUP(B240,skill_metrix!A:A,skill_metrix!C:C,0)</f>
        <v>0</v>
      </c>
      <c r="AA240" s="10"/>
      <c r="AB240" s="10" t="s">
        <v>1012</v>
      </c>
      <c r="AC240" s="32" t="s">
        <v>58</v>
      </c>
      <c r="AD240" s="10"/>
      <c r="AE240" s="10"/>
      <c r="AF240" s="10"/>
      <c r="AG240" s="10"/>
      <c r="AH240" s="10"/>
    </row>
    <row r="241" spans="1:37" ht="14.25" customHeight="1">
      <c r="A241">
        <v>315</v>
      </c>
      <c r="B241" s="1">
        <v>10668096</v>
      </c>
      <c r="C241" s="1" t="s">
        <v>415</v>
      </c>
      <c r="D241" s="1" t="s">
        <v>1068</v>
      </c>
      <c r="E241" s="1" t="s">
        <v>631</v>
      </c>
      <c r="F241" s="1" t="str">
        <f>D241&amp;" "&amp;E241</f>
        <v>AUNG ZAW -</v>
      </c>
      <c r="G241" s="1" t="s">
        <v>1068</v>
      </c>
      <c r="H241" s="1" t="s">
        <v>631</v>
      </c>
      <c r="I241" s="1">
        <v>10668096</v>
      </c>
      <c r="J241" s="1" t="s">
        <v>45</v>
      </c>
      <c r="K241" s="2">
        <v>45667</v>
      </c>
      <c r="L241" s="1" t="s">
        <v>66</v>
      </c>
      <c r="M241" s="1" t="s">
        <v>48</v>
      </c>
      <c r="N241" s="1" t="s">
        <v>48</v>
      </c>
      <c r="O241" s="1" t="s">
        <v>936</v>
      </c>
      <c r="P241" s="1" t="s">
        <v>936</v>
      </c>
      <c r="Q241" s="1">
        <v>10358597</v>
      </c>
      <c r="R241" s="1" t="s">
        <v>937</v>
      </c>
      <c r="S241" s="3" t="s">
        <v>922</v>
      </c>
      <c r="T241" s="1" t="s">
        <v>52</v>
      </c>
      <c r="U241" s="1" t="s">
        <v>53</v>
      </c>
      <c r="V241" s="1" t="s">
        <v>54</v>
      </c>
      <c r="W241" s="1" t="s">
        <v>632</v>
      </c>
      <c r="X241" s="1">
        <v>1</v>
      </c>
      <c r="Y241" s="10" t="s">
        <v>923</v>
      </c>
      <c r="Z241" s="10">
        <f>_xlfn.XLOOKUP(B241,skill_metrix!A:A,skill_metrix!C:C,0)</f>
        <v>0</v>
      </c>
      <c r="AA241" s="10"/>
      <c r="AB241" s="10" t="s">
        <v>1012</v>
      </c>
      <c r="AC241" s="32" t="s">
        <v>138</v>
      </c>
      <c r="AD241" s="10"/>
      <c r="AE241" s="10"/>
      <c r="AF241" s="10"/>
      <c r="AG241" s="10"/>
      <c r="AH241" s="10"/>
    </row>
    <row r="242" spans="1:37" ht="14.25" customHeight="1">
      <c r="A242">
        <v>98</v>
      </c>
      <c r="B242" s="1">
        <v>10506547</v>
      </c>
      <c r="C242" s="1" t="s">
        <v>39</v>
      </c>
      <c r="D242" s="1" t="s">
        <v>1069</v>
      </c>
      <c r="E242" s="1" t="s">
        <v>1070</v>
      </c>
      <c r="F242" s="1" t="str">
        <f>D242&amp;" "&amp;E242</f>
        <v>อารยา เรืองชาติ</v>
      </c>
      <c r="G242" s="1" t="s">
        <v>1071</v>
      </c>
      <c r="H242" s="1" t="s">
        <v>1072</v>
      </c>
      <c r="I242" s="1">
        <v>10506547</v>
      </c>
      <c r="J242" s="1" t="s">
        <v>45</v>
      </c>
      <c r="K242" s="1" t="s">
        <v>1073</v>
      </c>
      <c r="L242" s="1" t="s">
        <v>66</v>
      </c>
      <c r="M242" s="1" t="s">
        <v>48</v>
      </c>
      <c r="N242" s="1" t="s">
        <v>48</v>
      </c>
      <c r="O242" s="1" t="s">
        <v>1074</v>
      </c>
      <c r="P242" s="1" t="s">
        <v>1074</v>
      </c>
      <c r="Q242" s="1">
        <v>10358591</v>
      </c>
      <c r="R242" s="1" t="s">
        <v>921</v>
      </c>
      <c r="S242" s="3" t="s">
        <v>922</v>
      </c>
      <c r="T242" s="1" t="s">
        <v>52</v>
      </c>
      <c r="U242" s="1" t="s">
        <v>53</v>
      </c>
      <c r="V242" s="1" t="s">
        <v>54</v>
      </c>
      <c r="W242" s="1" t="s">
        <v>55</v>
      </c>
      <c r="X242" s="1">
        <v>1</v>
      </c>
      <c r="Y242" s="10" t="s">
        <v>923</v>
      </c>
      <c r="Z242" s="10" t="str">
        <f>_xlfn.XLOOKUP(B242,skill_metrix!A:A,skill_metrix!C:C,0)</f>
        <v>สะโพก(พิเศษ)</v>
      </c>
      <c r="AA242" s="10"/>
      <c r="AB242" s="10" t="s">
        <v>1075</v>
      </c>
      <c r="AC242" s="32" t="s">
        <v>84</v>
      </c>
      <c r="AD242" s="10"/>
      <c r="AE242" s="10"/>
      <c r="AF242" s="10" t="s">
        <v>59</v>
      </c>
      <c r="AG242" s="10"/>
      <c r="AH242" s="10"/>
      <c r="AI242" s="24">
        <v>0.33333333333333331</v>
      </c>
      <c r="AJ242" s="24">
        <v>0.70833333333333337</v>
      </c>
      <c r="AK242" s="24">
        <v>0.83333333333333337</v>
      </c>
    </row>
    <row r="243" spans="1:37" ht="14.25" customHeight="1">
      <c r="A243">
        <v>261</v>
      </c>
      <c r="B243" s="1">
        <v>10658460</v>
      </c>
      <c r="C243" s="1" t="s">
        <v>39</v>
      </c>
      <c r="D243" s="1" t="s">
        <v>1076</v>
      </c>
      <c r="E243" s="1" t="s">
        <v>1077</v>
      </c>
      <c r="F243" s="1" t="str">
        <f>D243&amp;" "&amp;E243</f>
        <v>อรชร ซื่อจริงรักษ์วาจา</v>
      </c>
      <c r="G243" s="1" t="s">
        <v>1078</v>
      </c>
      <c r="H243" s="1" t="s">
        <v>1079</v>
      </c>
      <c r="I243" s="1">
        <v>10658460</v>
      </c>
      <c r="J243" s="1" t="s">
        <v>45</v>
      </c>
      <c r="K243" s="2">
        <v>45785</v>
      </c>
      <c r="L243" s="1" t="s">
        <v>66</v>
      </c>
      <c r="M243" s="1" t="s">
        <v>48</v>
      </c>
      <c r="N243" s="1" t="s">
        <v>48</v>
      </c>
      <c r="O243" s="2">
        <v>45700</v>
      </c>
      <c r="P243" s="2">
        <v>45700</v>
      </c>
      <c r="Q243" s="1">
        <v>10358591</v>
      </c>
      <c r="R243" s="1" t="s">
        <v>921</v>
      </c>
      <c r="S243" s="3" t="s">
        <v>922</v>
      </c>
      <c r="T243" s="1" t="s">
        <v>52</v>
      </c>
      <c r="U243" s="1" t="s">
        <v>53</v>
      </c>
      <c r="V243" s="1" t="s">
        <v>54</v>
      </c>
      <c r="W243" s="1" t="s">
        <v>55</v>
      </c>
      <c r="X243" s="1">
        <v>1</v>
      </c>
      <c r="Y243" s="10" t="s">
        <v>923</v>
      </c>
      <c r="Z243" s="10" t="str">
        <f>_xlfn.XLOOKUP(B243,skill_metrix!A:A,skill_metrix!C:C,0)</f>
        <v>สะโพก(พิเศษ)</v>
      </c>
      <c r="AA243" s="10"/>
      <c r="AB243" s="10" t="s">
        <v>1075</v>
      </c>
      <c r="AC243" s="32" t="s">
        <v>69</v>
      </c>
      <c r="AD243" s="10"/>
      <c r="AE243" s="10"/>
      <c r="AF243" s="10" t="s">
        <v>59</v>
      </c>
      <c r="AG243" s="10"/>
      <c r="AH243" s="10"/>
      <c r="AI243" s="24">
        <v>0.33333333333333331</v>
      </c>
      <c r="AJ243" s="24">
        <v>0.70833333333333337</v>
      </c>
      <c r="AK243" s="24">
        <v>0.83333333333333337</v>
      </c>
    </row>
    <row r="244" spans="1:37" ht="14.25" customHeight="1">
      <c r="A244">
        <v>120</v>
      </c>
      <c r="B244" s="1">
        <v>10539731</v>
      </c>
      <c r="C244" s="1" t="s">
        <v>39</v>
      </c>
      <c r="D244" s="1" t="s">
        <v>1080</v>
      </c>
      <c r="E244" s="1" t="s">
        <v>1081</v>
      </c>
      <c r="F244" s="1" t="str">
        <f>D244&amp;" "&amp;E244</f>
        <v>อมิตา บุตรเตือน</v>
      </c>
      <c r="G244" s="1" t="s">
        <v>1082</v>
      </c>
      <c r="H244" s="1" t="s">
        <v>1083</v>
      </c>
      <c r="I244" s="1">
        <v>10539731</v>
      </c>
      <c r="J244" s="1" t="s">
        <v>45</v>
      </c>
      <c r="K244" s="1" t="s">
        <v>556</v>
      </c>
      <c r="L244" s="1" t="s">
        <v>66</v>
      </c>
      <c r="M244" s="1" t="s">
        <v>48</v>
      </c>
      <c r="N244" s="1" t="s">
        <v>48</v>
      </c>
      <c r="O244" s="1" t="s">
        <v>557</v>
      </c>
      <c r="P244" s="1" t="s">
        <v>557</v>
      </c>
      <c r="Q244" s="1">
        <v>10358629</v>
      </c>
      <c r="R244" s="1" t="s">
        <v>944</v>
      </c>
      <c r="S244" s="3" t="s">
        <v>922</v>
      </c>
      <c r="T244" s="1" t="s">
        <v>52</v>
      </c>
      <c r="U244" s="1" t="s">
        <v>53</v>
      </c>
      <c r="V244" s="1" t="s">
        <v>54</v>
      </c>
      <c r="W244" s="1" t="s">
        <v>55</v>
      </c>
      <c r="X244" s="1">
        <v>1</v>
      </c>
      <c r="Y244" s="10" t="s">
        <v>923</v>
      </c>
      <c r="Z244" s="10" t="str">
        <f>_xlfn.XLOOKUP(B244,skill_metrix!A:A,skill_metrix!C:C,0)</f>
        <v>สะโพก(พิเศษ)</v>
      </c>
      <c r="AA244" s="10"/>
      <c r="AB244" s="10" t="s">
        <v>1075</v>
      </c>
      <c r="AC244" s="32" t="s">
        <v>69</v>
      </c>
      <c r="AD244" s="10"/>
      <c r="AE244" s="10"/>
      <c r="AF244" s="10" t="s">
        <v>59</v>
      </c>
      <c r="AG244" s="10"/>
      <c r="AH244" s="10"/>
      <c r="AI244" s="24">
        <v>0.33333333333333331</v>
      </c>
      <c r="AJ244" s="24">
        <v>0.70833333333333337</v>
      </c>
      <c r="AK244" s="24">
        <v>0.83333333333333337</v>
      </c>
    </row>
    <row r="245" spans="1:37" ht="14.25" customHeight="1">
      <c r="A245">
        <v>260</v>
      </c>
      <c r="B245" s="1">
        <v>10658432</v>
      </c>
      <c r="C245" s="1" t="s">
        <v>39</v>
      </c>
      <c r="D245" s="1" t="s">
        <v>1084</v>
      </c>
      <c r="E245" s="1" t="s">
        <v>1085</v>
      </c>
      <c r="F245" s="1" t="str">
        <f>D245&amp;" "&amp;E245</f>
        <v>สุวรีณา พรหมพิทักษ์</v>
      </c>
      <c r="G245" s="1" t="s">
        <v>1086</v>
      </c>
      <c r="H245" s="1" t="s">
        <v>1087</v>
      </c>
      <c r="I245" s="1">
        <v>10658432</v>
      </c>
      <c r="J245" s="1" t="s">
        <v>45</v>
      </c>
      <c r="K245" s="2">
        <v>45665</v>
      </c>
      <c r="L245" s="1" t="s">
        <v>66</v>
      </c>
      <c r="M245" s="1" t="s">
        <v>48</v>
      </c>
      <c r="N245" s="1" t="s">
        <v>48</v>
      </c>
      <c r="O245" s="1" t="s">
        <v>107</v>
      </c>
      <c r="P245" s="1" t="s">
        <v>107</v>
      </c>
      <c r="Q245" s="1">
        <v>10358591</v>
      </c>
      <c r="R245" s="1" t="s">
        <v>921</v>
      </c>
      <c r="S245" s="3" t="s">
        <v>922</v>
      </c>
      <c r="T245" s="1" t="s">
        <v>52</v>
      </c>
      <c r="U245" s="1" t="s">
        <v>53</v>
      </c>
      <c r="V245" s="1" t="s">
        <v>54</v>
      </c>
      <c r="W245" s="1" t="s">
        <v>55</v>
      </c>
      <c r="X245" s="1">
        <v>1</v>
      </c>
      <c r="Y245" s="10" t="s">
        <v>923</v>
      </c>
      <c r="Z245" s="10" t="str">
        <f>_xlfn.XLOOKUP(B245,skill_metrix!A:A,skill_metrix!C:C,0)</f>
        <v>สะโพก(พิเศษ)</v>
      </c>
      <c r="AA245" s="10"/>
      <c r="AB245" s="10" t="s">
        <v>1075</v>
      </c>
      <c r="AC245" s="32" t="s">
        <v>76</v>
      </c>
      <c r="AD245" s="10"/>
      <c r="AE245" s="10"/>
      <c r="AF245" s="10" t="s">
        <v>59</v>
      </c>
      <c r="AG245" s="10"/>
      <c r="AH245" s="10"/>
      <c r="AI245" s="24">
        <v>0.33333333333333331</v>
      </c>
      <c r="AJ245" s="24">
        <v>0.70833333333333337</v>
      </c>
      <c r="AK245" s="24">
        <v>0.83333333333333337</v>
      </c>
    </row>
    <row r="246" spans="1:37" ht="14.25" customHeight="1">
      <c r="A246">
        <v>259</v>
      </c>
      <c r="B246" s="1">
        <v>10658430</v>
      </c>
      <c r="C246" s="1" t="s">
        <v>39</v>
      </c>
      <c r="D246" s="1" t="s">
        <v>1088</v>
      </c>
      <c r="E246" s="1" t="s">
        <v>1089</v>
      </c>
      <c r="F246" s="1" t="str">
        <f>D246&amp;" "&amp;E246</f>
        <v>สุนิสา สมโภชน์</v>
      </c>
      <c r="G246" s="1" t="s">
        <v>531</v>
      </c>
      <c r="H246" s="1" t="s">
        <v>1090</v>
      </c>
      <c r="I246" s="1">
        <v>10658430</v>
      </c>
      <c r="J246" s="1" t="s">
        <v>45</v>
      </c>
      <c r="K246" s="2">
        <v>45665</v>
      </c>
      <c r="L246" s="1" t="s">
        <v>66</v>
      </c>
      <c r="M246" s="1" t="s">
        <v>48</v>
      </c>
      <c r="N246" s="1" t="s">
        <v>48</v>
      </c>
      <c r="O246" s="1" t="s">
        <v>107</v>
      </c>
      <c r="P246" s="1" t="s">
        <v>107</v>
      </c>
      <c r="Q246" s="1">
        <v>10358591</v>
      </c>
      <c r="R246" s="1" t="s">
        <v>921</v>
      </c>
      <c r="S246" s="3" t="s">
        <v>922</v>
      </c>
      <c r="T246" s="1" t="s">
        <v>52</v>
      </c>
      <c r="U246" s="1" t="s">
        <v>53</v>
      </c>
      <c r="V246" s="1" t="s">
        <v>54</v>
      </c>
      <c r="W246" s="1" t="s">
        <v>55</v>
      </c>
      <c r="X246" s="1">
        <v>1</v>
      </c>
      <c r="Y246" s="10" t="s">
        <v>923</v>
      </c>
      <c r="Z246" s="10">
        <f>_xlfn.XLOOKUP(B246,skill_metrix!A:A,skill_metrix!C:C,0)</f>
        <v>0</v>
      </c>
      <c r="AA246" s="10"/>
      <c r="AB246" s="10" t="s">
        <v>1075</v>
      </c>
      <c r="AC246" s="32" t="s">
        <v>91</v>
      </c>
      <c r="AD246" s="10"/>
      <c r="AE246" s="10"/>
      <c r="AF246" s="10" t="s">
        <v>59</v>
      </c>
      <c r="AG246" s="10"/>
      <c r="AH246" s="10"/>
      <c r="AI246" s="24">
        <v>0.33333333333333331</v>
      </c>
      <c r="AJ246" s="24">
        <v>0.70833333333333337</v>
      </c>
      <c r="AK246" s="24">
        <v>0.83333333333333337</v>
      </c>
    </row>
    <row r="247" spans="1:37" ht="14.25" customHeight="1">
      <c r="A247">
        <v>364</v>
      </c>
      <c r="B247" s="1">
        <v>10680556</v>
      </c>
      <c r="C247" s="1" t="s">
        <v>39</v>
      </c>
      <c r="D247" s="1" t="s">
        <v>1091</v>
      </c>
      <c r="E247" s="1" t="s">
        <v>1092</v>
      </c>
      <c r="F247" s="1" t="str">
        <f>D247&amp;" "&amp;E247</f>
        <v>ปิยพร ภักดีพล</v>
      </c>
      <c r="G247" s="1" t="s">
        <v>1093</v>
      </c>
      <c r="H247" s="1" t="s">
        <v>1094</v>
      </c>
      <c r="I247" s="1">
        <v>10680556</v>
      </c>
      <c r="J247" s="1" t="s">
        <v>45</v>
      </c>
      <c r="K247" s="1" t="s">
        <v>259</v>
      </c>
      <c r="L247" s="1" t="s">
        <v>66</v>
      </c>
      <c r="M247" s="1" t="s">
        <v>48</v>
      </c>
      <c r="N247" s="1" t="s">
        <v>98</v>
      </c>
      <c r="O247" s="1" t="s">
        <v>260</v>
      </c>
      <c r="P247" s="1" t="s">
        <v>100</v>
      </c>
      <c r="Q247" s="1">
        <v>10358591</v>
      </c>
      <c r="R247" s="1" t="s">
        <v>921</v>
      </c>
      <c r="S247" s="3" t="s">
        <v>922</v>
      </c>
      <c r="T247" s="1" t="s">
        <v>52</v>
      </c>
      <c r="U247" s="1" t="s">
        <v>53</v>
      </c>
      <c r="V247" s="1" t="s">
        <v>54</v>
      </c>
      <c r="W247" s="1" t="s">
        <v>55</v>
      </c>
      <c r="X247" s="1">
        <v>1</v>
      </c>
      <c r="Y247" s="10" t="s">
        <v>923</v>
      </c>
      <c r="Z247" s="10" t="str">
        <f>_xlfn.XLOOKUP(B247,skill_metrix!A:A,skill_metrix!C:C,0)</f>
        <v>สะโพก(พิเศษ)</v>
      </c>
      <c r="AA247" s="10"/>
      <c r="AB247" s="10" t="s">
        <v>1075</v>
      </c>
      <c r="AC247" s="32" t="s">
        <v>69</v>
      </c>
      <c r="AD247" s="10"/>
      <c r="AE247" s="10"/>
      <c r="AF247" s="10" t="s">
        <v>59</v>
      </c>
      <c r="AG247" s="10"/>
      <c r="AH247" s="10"/>
      <c r="AI247" s="24">
        <v>0.33333333333333331</v>
      </c>
      <c r="AJ247" s="24">
        <v>0.70833333333333337</v>
      </c>
      <c r="AK247" s="24">
        <v>0.83333333333333337</v>
      </c>
    </row>
    <row r="248" spans="1:37" ht="14.25" customHeight="1">
      <c r="A248">
        <v>76</v>
      </c>
      <c r="B248" s="1">
        <v>10423174</v>
      </c>
      <c r="C248" s="1" t="s">
        <v>39</v>
      </c>
      <c r="D248" s="1" t="s">
        <v>1095</v>
      </c>
      <c r="E248" s="1" t="s">
        <v>1096</v>
      </c>
      <c r="F248" s="1" t="str">
        <f>D248&amp;" "&amp;E248</f>
        <v>ธัญญารัตน์ สีดา</v>
      </c>
      <c r="G248" s="1" t="s">
        <v>1097</v>
      </c>
      <c r="H248" s="1" t="s">
        <v>1098</v>
      </c>
      <c r="I248" s="1">
        <v>10423174</v>
      </c>
      <c r="J248" s="1" t="s">
        <v>45</v>
      </c>
      <c r="K248" s="2">
        <v>44443</v>
      </c>
      <c r="L248" s="1" t="s">
        <v>66</v>
      </c>
      <c r="M248" s="1" t="s">
        <v>48</v>
      </c>
      <c r="N248" s="1" t="s">
        <v>48</v>
      </c>
      <c r="O248" s="2">
        <v>44355</v>
      </c>
      <c r="P248" s="2">
        <v>44355</v>
      </c>
      <c r="Q248" s="1">
        <v>10358591</v>
      </c>
      <c r="R248" s="1" t="s">
        <v>921</v>
      </c>
      <c r="S248" s="3" t="s">
        <v>922</v>
      </c>
      <c r="T248" s="1" t="s">
        <v>52</v>
      </c>
      <c r="U248" s="1" t="s">
        <v>53</v>
      </c>
      <c r="V248" s="1" t="s">
        <v>54</v>
      </c>
      <c r="W248" s="1" t="s">
        <v>55</v>
      </c>
      <c r="X248" s="1">
        <v>1</v>
      </c>
      <c r="Y248" s="10" t="s">
        <v>923</v>
      </c>
      <c r="Z248" s="10" t="str">
        <f>_xlfn.XLOOKUP(B248,skill_metrix!A:A,skill_metrix!C:C,0)</f>
        <v>สะโพก(พิเศษ)</v>
      </c>
      <c r="AA248" s="10"/>
      <c r="AB248" s="10" t="s">
        <v>1075</v>
      </c>
      <c r="AC248" s="32" t="s">
        <v>212</v>
      </c>
      <c r="AD248" s="10"/>
      <c r="AE248" s="10"/>
      <c r="AF248" s="10" t="s">
        <v>59</v>
      </c>
      <c r="AG248" s="10"/>
      <c r="AH248" s="10"/>
      <c r="AI248" s="24">
        <v>0.33333333333333331</v>
      </c>
      <c r="AJ248" s="24">
        <v>0.70833333333333337</v>
      </c>
      <c r="AK248" s="24">
        <v>0.83333333333333337</v>
      </c>
    </row>
    <row r="249" spans="1:37" ht="14.25" customHeight="1">
      <c r="A249">
        <v>265</v>
      </c>
      <c r="B249" s="1">
        <v>10659426</v>
      </c>
      <c r="C249" s="1" t="s">
        <v>39</v>
      </c>
      <c r="D249" s="1" t="s">
        <v>1099</v>
      </c>
      <c r="E249" s="1" t="s">
        <v>775</v>
      </c>
      <c r="F249" s="1" t="str">
        <f>D249&amp;" "&amp;E249</f>
        <v>ทัศนีย์ โสภา</v>
      </c>
      <c r="G249" s="1" t="s">
        <v>1100</v>
      </c>
      <c r="H249" s="1" t="s">
        <v>777</v>
      </c>
      <c r="I249" s="1">
        <v>10659426</v>
      </c>
      <c r="J249" s="1" t="s">
        <v>45</v>
      </c>
      <c r="K249" s="2">
        <v>45877</v>
      </c>
      <c r="L249" s="1" t="s">
        <v>66</v>
      </c>
      <c r="M249" s="1" t="s">
        <v>48</v>
      </c>
      <c r="N249" s="1" t="s">
        <v>48</v>
      </c>
      <c r="O249" s="2">
        <v>45789</v>
      </c>
      <c r="P249" s="2">
        <v>45789</v>
      </c>
      <c r="Q249" s="1">
        <v>10358591</v>
      </c>
      <c r="R249" s="1" t="s">
        <v>921</v>
      </c>
      <c r="S249" s="3" t="s">
        <v>922</v>
      </c>
      <c r="T249" s="1" t="s">
        <v>52</v>
      </c>
      <c r="U249" s="1" t="s">
        <v>53</v>
      </c>
      <c r="V249" s="1" t="s">
        <v>54</v>
      </c>
      <c r="W249" s="1" t="s">
        <v>55</v>
      </c>
      <c r="X249" s="1">
        <v>1</v>
      </c>
      <c r="Y249" s="10" t="s">
        <v>923</v>
      </c>
      <c r="Z249" s="10" t="str">
        <f>_xlfn.XLOOKUP(B249,skill_metrix!A:A,skill_metrix!C:C,0)</f>
        <v>สะโพก(พิเศษ)</v>
      </c>
      <c r="AA249" s="10"/>
      <c r="AB249" s="10" t="s">
        <v>1075</v>
      </c>
      <c r="AC249" s="32" t="s">
        <v>212</v>
      </c>
      <c r="AD249" s="10"/>
      <c r="AE249" s="10"/>
      <c r="AF249" s="10" t="s">
        <v>59</v>
      </c>
      <c r="AG249" s="10"/>
      <c r="AH249" s="10"/>
      <c r="AI249" s="24">
        <v>0.33333333333333331</v>
      </c>
      <c r="AJ249" s="24">
        <v>0.70833333333333337</v>
      </c>
      <c r="AK249" s="24">
        <v>0.83333333333333337</v>
      </c>
    </row>
    <row r="250" spans="1:37" ht="14.25" customHeight="1">
      <c r="A250">
        <v>42</v>
      </c>
      <c r="B250" s="1">
        <v>10384217</v>
      </c>
      <c r="C250" s="1" t="s">
        <v>39</v>
      </c>
      <c r="D250" s="1" t="s">
        <v>1101</v>
      </c>
      <c r="E250" s="1" t="s">
        <v>1102</v>
      </c>
      <c r="F250" s="1" t="str">
        <f>D250&amp;" "&amp;E250</f>
        <v>ชญาดา ทองกระจ่าง</v>
      </c>
      <c r="G250" s="1" t="s">
        <v>1103</v>
      </c>
      <c r="H250" s="1" t="s">
        <v>1104</v>
      </c>
      <c r="I250" s="1">
        <v>10384217</v>
      </c>
      <c r="J250" s="1" t="s">
        <v>45</v>
      </c>
      <c r="K250" s="1" t="s">
        <v>1105</v>
      </c>
      <c r="L250" s="1" t="s">
        <v>66</v>
      </c>
      <c r="M250" s="1" t="s">
        <v>48</v>
      </c>
      <c r="N250" s="1" t="s">
        <v>48</v>
      </c>
      <c r="O250" s="1" t="s">
        <v>1106</v>
      </c>
      <c r="P250" s="1" t="s">
        <v>1106</v>
      </c>
      <c r="Q250" s="1">
        <v>10358591</v>
      </c>
      <c r="R250" s="1" t="s">
        <v>921</v>
      </c>
      <c r="S250" s="3" t="s">
        <v>922</v>
      </c>
      <c r="T250" s="1" t="s">
        <v>52</v>
      </c>
      <c r="U250" s="1" t="s">
        <v>53</v>
      </c>
      <c r="V250" s="1" t="s">
        <v>54</v>
      </c>
      <c r="W250" s="1" t="s">
        <v>55</v>
      </c>
      <c r="X250" s="1">
        <v>1</v>
      </c>
      <c r="Y250" s="10" t="s">
        <v>923</v>
      </c>
      <c r="Z250" s="10" t="str">
        <f>_xlfn.XLOOKUP(B250,skill_metrix!A:A,skill_metrix!C:C,0)</f>
        <v>สะโพก(พิเศษ)</v>
      </c>
      <c r="AA250" s="10"/>
      <c r="AB250" s="10" t="s">
        <v>1075</v>
      </c>
      <c r="AC250" s="32" t="s">
        <v>91</v>
      </c>
      <c r="AD250" s="10"/>
      <c r="AE250" s="10"/>
      <c r="AF250" s="10" t="s">
        <v>59</v>
      </c>
      <c r="AG250" s="10"/>
      <c r="AH250" s="10"/>
      <c r="AI250" s="24">
        <v>0.33333333333333331</v>
      </c>
      <c r="AJ250" s="24">
        <v>0.70833333333333337</v>
      </c>
      <c r="AK250" s="24">
        <v>0.83333333333333337</v>
      </c>
    </row>
    <row r="251" spans="1:37" ht="14.25" customHeight="1">
      <c r="A251">
        <v>375</v>
      </c>
      <c r="B251" s="1">
        <v>10685884</v>
      </c>
      <c r="C251" s="1" t="s">
        <v>762</v>
      </c>
      <c r="D251" s="1" t="s">
        <v>1107</v>
      </c>
      <c r="E251" s="1" t="s">
        <v>631</v>
      </c>
      <c r="F251" s="1" t="str">
        <f>D251&amp;" "&amp;E251</f>
        <v>SU PHYO HTAY -</v>
      </c>
      <c r="G251" s="1" t="s">
        <v>1107</v>
      </c>
      <c r="H251" s="1" t="s">
        <v>631</v>
      </c>
      <c r="I251" s="1">
        <v>10685884</v>
      </c>
      <c r="J251" s="1" t="s">
        <v>45</v>
      </c>
      <c r="K251" s="2">
        <v>46145</v>
      </c>
      <c r="L251" s="1" t="s">
        <v>66</v>
      </c>
      <c r="M251" s="1" t="s">
        <v>48</v>
      </c>
      <c r="N251" s="1" t="s">
        <v>98</v>
      </c>
      <c r="O251" s="2">
        <v>46060</v>
      </c>
      <c r="P251" s="1" t="s">
        <v>100</v>
      </c>
      <c r="Q251" s="1">
        <v>10358591</v>
      </c>
      <c r="R251" s="1" t="s">
        <v>921</v>
      </c>
      <c r="S251" s="3" t="s">
        <v>922</v>
      </c>
      <c r="T251" s="1" t="s">
        <v>52</v>
      </c>
      <c r="U251" s="1" t="s">
        <v>53</v>
      </c>
      <c r="V251" s="1" t="s">
        <v>54</v>
      </c>
      <c r="W251" s="1" t="s">
        <v>632</v>
      </c>
      <c r="X251" s="1">
        <v>1</v>
      </c>
      <c r="Y251" s="10" t="s">
        <v>923</v>
      </c>
      <c r="Z251" s="10" t="str">
        <f>_xlfn.XLOOKUP(B251,skill_metrix!A:A,skill_metrix!C:C,0)</f>
        <v>สะโพก(พิเศษ)</v>
      </c>
      <c r="AA251" s="10"/>
      <c r="AB251" s="10" t="s">
        <v>1075</v>
      </c>
      <c r="AC251" s="32" t="s">
        <v>76</v>
      </c>
      <c r="AD251" s="10"/>
      <c r="AE251" s="10"/>
      <c r="AF251" s="10" t="s">
        <v>59</v>
      </c>
      <c r="AG251" s="10"/>
      <c r="AH251" s="10"/>
      <c r="AI251" s="24">
        <v>0.33333333333333331</v>
      </c>
      <c r="AJ251" s="24">
        <v>0.70833333333333337</v>
      </c>
      <c r="AK251" s="24">
        <v>0.83333333333333337</v>
      </c>
    </row>
    <row r="252" spans="1:37" ht="14.25" customHeight="1">
      <c r="A252">
        <v>316</v>
      </c>
      <c r="B252" s="1">
        <v>10668102</v>
      </c>
      <c r="C252" s="1" t="s">
        <v>627</v>
      </c>
      <c r="D252" s="1" t="s">
        <v>1108</v>
      </c>
      <c r="E252" s="1" t="s">
        <v>631</v>
      </c>
      <c r="F252" s="1" t="str">
        <f>D252&amp;" "&amp;E252</f>
        <v>AYE NYEIN THU -</v>
      </c>
      <c r="G252" s="1" t="s">
        <v>1108</v>
      </c>
      <c r="H252" s="1" t="s">
        <v>631</v>
      </c>
      <c r="I252" s="1">
        <v>10668102</v>
      </c>
      <c r="J252" s="1" t="s">
        <v>45</v>
      </c>
      <c r="K252" s="2">
        <v>45667</v>
      </c>
      <c r="L252" s="1" t="s">
        <v>66</v>
      </c>
      <c r="M252" s="1" t="s">
        <v>48</v>
      </c>
      <c r="N252" s="1" t="s">
        <v>48</v>
      </c>
      <c r="O252" s="1" t="s">
        <v>936</v>
      </c>
      <c r="P252" s="1" t="s">
        <v>936</v>
      </c>
      <c r="Q252" s="1">
        <v>10358591</v>
      </c>
      <c r="R252" s="1" t="s">
        <v>921</v>
      </c>
      <c r="S252" s="3" t="s">
        <v>922</v>
      </c>
      <c r="T252" s="1" t="s">
        <v>52</v>
      </c>
      <c r="U252" s="1" t="s">
        <v>53</v>
      </c>
      <c r="V252" s="1" t="s">
        <v>54</v>
      </c>
      <c r="W252" s="1" t="s">
        <v>632</v>
      </c>
      <c r="X252" s="1">
        <v>1</v>
      </c>
      <c r="Y252" s="10" t="s">
        <v>923</v>
      </c>
      <c r="Z252" s="10" t="str">
        <f>_xlfn.XLOOKUP(B252,skill_metrix!A:A,skill_metrix!C:C,0)</f>
        <v>สะโพก(พิเศษ)</v>
      </c>
      <c r="AA252" s="10"/>
      <c r="AB252" s="10" t="s">
        <v>1075</v>
      </c>
      <c r="AC252" s="32" t="s">
        <v>138</v>
      </c>
      <c r="AD252" s="10"/>
      <c r="AE252" s="10"/>
      <c r="AF252" s="10" t="s">
        <v>59</v>
      </c>
      <c r="AG252" s="10"/>
      <c r="AH252" s="10"/>
      <c r="AI252" s="24">
        <v>0.33333333333333331</v>
      </c>
      <c r="AJ252" s="24">
        <v>0.70833333333333337</v>
      </c>
      <c r="AK252" s="24">
        <v>0.83333333333333337</v>
      </c>
    </row>
    <row r="253" spans="1:37" ht="14.25" customHeight="1">
      <c r="A253">
        <v>381</v>
      </c>
      <c r="B253" s="1">
        <v>10685918</v>
      </c>
      <c r="C253" s="1" t="s">
        <v>415</v>
      </c>
      <c r="D253" s="1" t="s">
        <v>1109</v>
      </c>
      <c r="E253" s="1" t="s">
        <v>631</v>
      </c>
      <c r="F253" s="1" t="str">
        <f>D253&amp;" "&amp;E253</f>
        <v>KYAW KYAW MIN -</v>
      </c>
      <c r="G253" s="1" t="s">
        <v>1109</v>
      </c>
      <c r="H253" s="1" t="s">
        <v>631</v>
      </c>
      <c r="I253" s="1">
        <v>10685918</v>
      </c>
      <c r="J253" s="1" t="s">
        <v>45</v>
      </c>
      <c r="K253" s="2">
        <v>46268</v>
      </c>
      <c r="L253" s="1" t="s">
        <v>66</v>
      </c>
      <c r="M253" s="1" t="s">
        <v>48</v>
      </c>
      <c r="N253" s="1" t="s">
        <v>98</v>
      </c>
      <c r="O253" s="2">
        <v>46180</v>
      </c>
      <c r="P253" s="1" t="s">
        <v>100</v>
      </c>
      <c r="Q253" s="1">
        <v>10358591</v>
      </c>
      <c r="R253" s="1" t="s">
        <v>921</v>
      </c>
      <c r="S253" s="3" t="s">
        <v>922</v>
      </c>
      <c r="T253" s="1" t="s">
        <v>52</v>
      </c>
      <c r="U253" s="1" t="s">
        <v>53</v>
      </c>
      <c r="V253" s="1" t="s">
        <v>54</v>
      </c>
      <c r="W253" s="1" t="s">
        <v>632</v>
      </c>
      <c r="X253" s="1">
        <v>1</v>
      </c>
      <c r="Y253" s="10" t="s">
        <v>923</v>
      </c>
      <c r="Z253" s="10">
        <f>_xlfn.XLOOKUP(B253,skill_metrix!A:A,skill_metrix!C:C,0)</f>
        <v>0</v>
      </c>
      <c r="AA253" s="10"/>
      <c r="AB253" s="10" t="s">
        <v>1110</v>
      </c>
      <c r="AC253" s="32" t="s">
        <v>91</v>
      </c>
      <c r="AD253" s="10"/>
      <c r="AE253" s="10"/>
      <c r="AF253" s="10" t="s">
        <v>59</v>
      </c>
      <c r="AG253" s="10"/>
      <c r="AH253" s="10"/>
      <c r="AI253" s="24">
        <v>0.33333333333333331</v>
      </c>
      <c r="AJ253" s="24">
        <v>0.70833333333333337</v>
      </c>
    </row>
    <row r="254" spans="1:37" ht="14.25" customHeight="1">
      <c r="A254">
        <v>121</v>
      </c>
      <c r="B254" s="1">
        <v>10539746</v>
      </c>
      <c r="C254" s="1" t="s">
        <v>39</v>
      </c>
      <c r="D254" s="1" t="s">
        <v>611</v>
      </c>
      <c r="E254" s="1" t="s">
        <v>1111</v>
      </c>
      <c r="F254" s="1" t="str">
        <f>D254&amp;" "&amp;E254</f>
        <v>สายฝน ฉันทิบ</v>
      </c>
      <c r="G254" s="1" t="s">
        <v>613</v>
      </c>
      <c r="H254" s="1" t="s">
        <v>1112</v>
      </c>
      <c r="I254" s="1">
        <v>10539746</v>
      </c>
      <c r="J254" s="1" t="s">
        <v>45</v>
      </c>
      <c r="K254" s="1" t="s">
        <v>556</v>
      </c>
      <c r="L254" s="1" t="s">
        <v>66</v>
      </c>
      <c r="M254" s="1" t="s">
        <v>48</v>
      </c>
      <c r="N254" s="1" t="s">
        <v>48</v>
      </c>
      <c r="O254" s="1" t="s">
        <v>557</v>
      </c>
      <c r="P254" s="1" t="s">
        <v>557</v>
      </c>
      <c r="Q254" s="1">
        <v>10358591</v>
      </c>
      <c r="R254" s="1" t="s">
        <v>921</v>
      </c>
      <c r="S254" s="3" t="s">
        <v>922</v>
      </c>
      <c r="T254" s="1" t="s">
        <v>52</v>
      </c>
      <c r="U254" s="1" t="s">
        <v>53</v>
      </c>
      <c r="V254" s="1" t="s">
        <v>54</v>
      </c>
      <c r="W254" s="1" t="s">
        <v>55</v>
      </c>
      <c r="X254" s="1">
        <v>1</v>
      </c>
      <c r="Y254" s="10" t="s">
        <v>923</v>
      </c>
      <c r="Z254" s="10" t="str">
        <f>_xlfn.XLOOKUP(B254,skill_metrix!A:A,skill_metrix!C:C,0)</f>
        <v>สามชั้น(พิเศษ)</v>
      </c>
      <c r="AA254" s="10"/>
      <c r="AB254" s="10" t="s">
        <v>1113</v>
      </c>
      <c r="AC254" s="32" t="s">
        <v>58</v>
      </c>
      <c r="AD254" s="10"/>
      <c r="AE254" s="10"/>
      <c r="AF254" s="10" t="s">
        <v>59</v>
      </c>
      <c r="AG254" s="10"/>
      <c r="AH254" s="10"/>
      <c r="AI254" s="24">
        <v>0.33333333333333331</v>
      </c>
      <c r="AJ254" s="24">
        <v>0.70833333333333337</v>
      </c>
      <c r="AK254" s="24">
        <v>0.91666666666666663</v>
      </c>
    </row>
    <row r="255" spans="1:37" ht="14.25" customHeight="1">
      <c r="A255">
        <v>29</v>
      </c>
      <c r="B255" s="1">
        <v>10356028</v>
      </c>
      <c r="C255" s="1" t="s">
        <v>39</v>
      </c>
      <c r="D255" s="1" t="s">
        <v>1114</v>
      </c>
      <c r="E255" s="1" t="s">
        <v>624</v>
      </c>
      <c r="F255" s="1" t="str">
        <f>D255&amp;" "&amp;E255</f>
        <v>วิมล คัมภิรานนท์</v>
      </c>
      <c r="G255" s="1" t="s">
        <v>1115</v>
      </c>
      <c r="H255" s="1" t="s">
        <v>1116</v>
      </c>
      <c r="I255" s="1" t="s">
        <v>1117</v>
      </c>
      <c r="J255" s="1" t="s">
        <v>45</v>
      </c>
      <c r="K255" s="1" t="s">
        <v>1118</v>
      </c>
      <c r="L255" s="1" t="s">
        <v>47</v>
      </c>
      <c r="M255" s="1" t="s">
        <v>48</v>
      </c>
      <c r="N255" s="1" t="s">
        <v>48</v>
      </c>
      <c r="O255" s="1" t="s">
        <v>1119</v>
      </c>
      <c r="P255" s="1" t="s">
        <v>1119</v>
      </c>
      <c r="Q255" s="1">
        <v>10405236</v>
      </c>
      <c r="R255" s="1" t="s">
        <v>1120</v>
      </c>
      <c r="S255" s="3" t="s">
        <v>922</v>
      </c>
      <c r="T255" s="1" t="s">
        <v>52</v>
      </c>
      <c r="U255" s="1" t="s">
        <v>53</v>
      </c>
      <c r="V255" s="1" t="s">
        <v>54</v>
      </c>
      <c r="W255" s="1" t="s">
        <v>55</v>
      </c>
      <c r="X255" s="1">
        <v>1</v>
      </c>
      <c r="Y255" s="10" t="s">
        <v>923</v>
      </c>
      <c r="Z255" s="10" t="str">
        <f>_xlfn.XLOOKUP(B255,skill_metrix!A:A,skill_metrix!C:C,0)</f>
        <v>สามชั้น(พิเศษ)</v>
      </c>
      <c r="AA255" s="10"/>
      <c r="AB255" s="10" t="s">
        <v>1113</v>
      </c>
      <c r="AC255" s="32" t="s">
        <v>212</v>
      </c>
      <c r="AD255" s="10"/>
      <c r="AE255" s="10"/>
      <c r="AF255" s="10" t="s">
        <v>59</v>
      </c>
      <c r="AG255" s="10"/>
      <c r="AH255" s="10"/>
      <c r="AI255" s="24">
        <v>0.33333333333333331</v>
      </c>
      <c r="AJ255" s="24">
        <v>0.70833333333333337</v>
      </c>
      <c r="AK255" s="24">
        <v>0.91666666666666663</v>
      </c>
    </row>
    <row r="256" spans="1:37" ht="14.25" customHeight="1">
      <c r="A256">
        <v>292</v>
      </c>
      <c r="B256" s="1">
        <v>10664104</v>
      </c>
      <c r="C256" s="1" t="s">
        <v>92</v>
      </c>
      <c r="D256" s="1" t="s">
        <v>623</v>
      </c>
      <c r="E256" s="1" t="s">
        <v>1121</v>
      </c>
      <c r="F256" s="1" t="str">
        <f>D256&amp;" "&amp;E256</f>
        <v>วันชัย ชมชาติ</v>
      </c>
      <c r="G256" s="1" t="s">
        <v>625</v>
      </c>
      <c r="H256" s="1" t="s">
        <v>1122</v>
      </c>
      <c r="I256" s="1">
        <v>10664104</v>
      </c>
      <c r="J256" s="1" t="s">
        <v>45</v>
      </c>
      <c r="K256" s="2">
        <v>45878</v>
      </c>
      <c r="L256" s="1" t="s">
        <v>66</v>
      </c>
      <c r="M256" s="1" t="s">
        <v>48</v>
      </c>
      <c r="N256" s="1" t="s">
        <v>48</v>
      </c>
      <c r="O256" s="2">
        <v>46143</v>
      </c>
      <c r="P256" s="2">
        <v>46143</v>
      </c>
      <c r="Q256" s="1">
        <v>10358581</v>
      </c>
      <c r="R256" s="1" t="s">
        <v>1123</v>
      </c>
      <c r="S256" s="3" t="s">
        <v>922</v>
      </c>
      <c r="T256" s="1" t="s">
        <v>52</v>
      </c>
      <c r="U256" s="1" t="s">
        <v>53</v>
      </c>
      <c r="V256" s="1" t="s">
        <v>54</v>
      </c>
      <c r="W256" s="1" t="s">
        <v>55</v>
      </c>
      <c r="X256" s="1">
        <v>1</v>
      </c>
      <c r="Y256" s="10" t="s">
        <v>923</v>
      </c>
      <c r="Z256" s="10" t="str">
        <f>_xlfn.XLOOKUP(B256,skill_metrix!A:A,skill_metrix!C:C,0)</f>
        <v>สามชั้น(พิเศษ)</v>
      </c>
      <c r="AA256" s="10"/>
      <c r="AB256" s="10" t="s">
        <v>1113</v>
      </c>
      <c r="AC256" s="32" t="s">
        <v>212</v>
      </c>
      <c r="AD256" s="10"/>
      <c r="AE256" s="10"/>
      <c r="AF256" s="10" t="s">
        <v>59</v>
      </c>
      <c r="AG256" s="10"/>
      <c r="AH256" s="10"/>
      <c r="AI256" s="24">
        <v>0.33333333333333331</v>
      </c>
      <c r="AJ256" s="24">
        <v>0.70833333333333337</v>
      </c>
      <c r="AK256" s="24">
        <v>0.91666666666666663</v>
      </c>
    </row>
    <row r="257" spans="1:39" ht="14.25" customHeight="1">
      <c r="A257">
        <v>12</v>
      </c>
      <c r="B257" s="1">
        <v>10296449</v>
      </c>
      <c r="C257" s="1" t="s">
        <v>39</v>
      </c>
      <c r="D257" s="1" t="s">
        <v>1124</v>
      </c>
      <c r="E257" s="1" t="s">
        <v>1125</v>
      </c>
      <c r="F257" s="1" t="str">
        <f>D257&amp;" "&amp;E257</f>
        <v>วรรณา นิลคูหา</v>
      </c>
      <c r="G257" s="1" t="s">
        <v>1126</v>
      </c>
      <c r="H257" s="1" t="s">
        <v>1127</v>
      </c>
      <c r="I257" s="1" t="s">
        <v>1128</v>
      </c>
      <c r="J257" s="1" t="s">
        <v>45</v>
      </c>
      <c r="K257" s="1" t="s">
        <v>1129</v>
      </c>
      <c r="L257" s="1" t="s">
        <v>47</v>
      </c>
      <c r="M257" s="1" t="s">
        <v>48</v>
      </c>
      <c r="N257" s="1" t="s">
        <v>48</v>
      </c>
      <c r="O257" s="1" t="s">
        <v>1130</v>
      </c>
      <c r="P257" s="1" t="s">
        <v>1130</v>
      </c>
      <c r="Q257" s="1">
        <v>10358618</v>
      </c>
      <c r="R257" s="1" t="s">
        <v>1027</v>
      </c>
      <c r="S257" s="3" t="s">
        <v>922</v>
      </c>
      <c r="T257" s="1" t="s">
        <v>52</v>
      </c>
      <c r="U257" s="1" t="s">
        <v>53</v>
      </c>
      <c r="V257" s="1" t="s">
        <v>54</v>
      </c>
      <c r="W257" s="1" t="s">
        <v>55</v>
      </c>
      <c r="X257" s="1">
        <v>1</v>
      </c>
      <c r="Y257" s="10" t="s">
        <v>923</v>
      </c>
      <c r="Z257" s="10" t="str">
        <f>_xlfn.XLOOKUP(B257,skill_metrix!A:A,skill_metrix!C:C,0)</f>
        <v>สามชั้น(พิเศษ)</v>
      </c>
      <c r="AA257" s="10"/>
      <c r="AB257" s="10" t="s">
        <v>1113</v>
      </c>
      <c r="AC257" s="32" t="s">
        <v>91</v>
      </c>
      <c r="AD257" s="10"/>
      <c r="AE257" s="10"/>
      <c r="AF257" s="10" t="s">
        <v>59</v>
      </c>
      <c r="AG257" s="10"/>
      <c r="AH257" s="10"/>
      <c r="AI257" s="24">
        <v>0.33333333333333331</v>
      </c>
      <c r="AJ257" s="24">
        <v>0.70833333333333337</v>
      </c>
      <c r="AK257" s="24">
        <v>0.91666666666666663</v>
      </c>
    </row>
    <row r="258" spans="1:39" ht="14.25" customHeight="1">
      <c r="A258">
        <v>105</v>
      </c>
      <c r="B258" s="1">
        <v>10511844</v>
      </c>
      <c r="C258" s="1" t="s">
        <v>92</v>
      </c>
      <c r="D258" s="1" t="s">
        <v>1131</v>
      </c>
      <c r="E258" s="1" t="s">
        <v>1132</v>
      </c>
      <c r="F258" s="1" t="str">
        <f>D258&amp;" "&amp;E258</f>
        <v>ธรรมรัตน์ บุญมา</v>
      </c>
      <c r="G258" s="1" t="s">
        <v>1133</v>
      </c>
      <c r="H258" s="1" t="s">
        <v>1134</v>
      </c>
      <c r="I258" s="1">
        <v>10511844</v>
      </c>
      <c r="J258" s="1" t="s">
        <v>45</v>
      </c>
      <c r="K258" s="1" t="s">
        <v>942</v>
      </c>
      <c r="L258" s="1" t="s">
        <v>66</v>
      </c>
      <c r="M258" s="1" t="s">
        <v>48</v>
      </c>
      <c r="N258" s="1" t="s">
        <v>48</v>
      </c>
      <c r="O258" s="1" t="s">
        <v>943</v>
      </c>
      <c r="P258" s="1" t="s">
        <v>943</v>
      </c>
      <c r="Q258" s="1">
        <v>10358581</v>
      </c>
      <c r="R258" s="1" t="s">
        <v>1123</v>
      </c>
      <c r="S258" s="3" t="s">
        <v>922</v>
      </c>
      <c r="T258" s="1" t="s">
        <v>52</v>
      </c>
      <c r="U258" s="1" t="s">
        <v>53</v>
      </c>
      <c r="V258" s="1" t="s">
        <v>54</v>
      </c>
      <c r="W258" s="1" t="s">
        <v>55</v>
      </c>
      <c r="X258" s="1">
        <v>1</v>
      </c>
      <c r="Y258" s="10" t="s">
        <v>923</v>
      </c>
      <c r="Z258" s="10" t="str">
        <f>_xlfn.XLOOKUP(B258,skill_metrix!A:A,skill_metrix!C:C,0)</f>
        <v>สามชั้น(พิเศษ)</v>
      </c>
      <c r="AA258" s="10"/>
      <c r="AB258" s="10" t="s">
        <v>1113</v>
      </c>
      <c r="AC258" s="32" t="s">
        <v>91</v>
      </c>
      <c r="AD258" s="10"/>
      <c r="AE258" s="10"/>
      <c r="AF258" s="10" t="s">
        <v>59</v>
      </c>
      <c r="AG258" s="10"/>
      <c r="AH258" s="10"/>
      <c r="AI258" s="24">
        <v>0.33333333333333331</v>
      </c>
      <c r="AJ258" s="24">
        <v>0.70833333333333337</v>
      </c>
      <c r="AK258" s="24">
        <v>0.91666666666666663</v>
      </c>
    </row>
    <row r="259" spans="1:39" ht="14.25" customHeight="1">
      <c r="A259">
        <v>413</v>
      </c>
      <c r="B259" s="1">
        <v>10691405</v>
      </c>
      <c r="C259" s="1" t="s">
        <v>92</v>
      </c>
      <c r="D259" s="1" t="s">
        <v>1043</v>
      </c>
      <c r="E259" s="1" t="s">
        <v>1135</v>
      </c>
      <c r="F259" s="1" t="str">
        <f>D259&amp;" "&amp;E259</f>
        <v>ณัฐวุฒิ ฟักศรี</v>
      </c>
      <c r="G259" s="1" t="s">
        <v>1136</v>
      </c>
      <c r="H259" s="1" t="s">
        <v>1137</v>
      </c>
      <c r="I259" s="1">
        <v>10691405</v>
      </c>
      <c r="J259" s="1" t="s">
        <v>45</v>
      </c>
      <c r="K259" s="2">
        <v>46026</v>
      </c>
      <c r="L259" s="1" t="s">
        <v>66</v>
      </c>
      <c r="M259" s="1" t="s">
        <v>48</v>
      </c>
      <c r="N259" s="1" t="s">
        <v>98</v>
      </c>
      <c r="O259" s="1" t="s">
        <v>466</v>
      </c>
      <c r="P259" s="1" t="s">
        <v>100</v>
      </c>
      <c r="Q259" s="1">
        <v>10405353</v>
      </c>
      <c r="R259" s="1" t="s">
        <v>955</v>
      </c>
      <c r="S259" s="3" t="s">
        <v>922</v>
      </c>
      <c r="T259" s="1" t="s">
        <v>52</v>
      </c>
      <c r="U259" s="1" t="s">
        <v>53</v>
      </c>
      <c r="V259" s="1" t="s">
        <v>54</v>
      </c>
      <c r="W259" s="1" t="s">
        <v>55</v>
      </c>
      <c r="X259" s="1">
        <v>1</v>
      </c>
      <c r="Y259" s="10" t="s">
        <v>923</v>
      </c>
      <c r="Z259" s="10" t="str">
        <f>_xlfn.XLOOKUP(B259,skill_metrix!A:A,skill_metrix!C:C,0)</f>
        <v>สามชั้น(พิเศษ)</v>
      </c>
      <c r="AA259" s="10"/>
      <c r="AB259" s="10" t="s">
        <v>1113</v>
      </c>
      <c r="AC259" s="32" t="s">
        <v>76</v>
      </c>
      <c r="AD259" s="10"/>
      <c r="AE259" s="10"/>
      <c r="AF259" s="10" t="s">
        <v>59</v>
      </c>
      <c r="AG259" s="10"/>
      <c r="AH259" s="10"/>
      <c r="AI259" s="24">
        <v>0.33333333333333331</v>
      </c>
      <c r="AJ259" s="24">
        <v>0.70833333333333337</v>
      </c>
      <c r="AK259" s="24">
        <v>0.91666666666666663</v>
      </c>
    </row>
    <row r="260" spans="1:39" ht="14.25" customHeight="1">
      <c r="A260">
        <v>188</v>
      </c>
      <c r="B260" s="1">
        <v>10617278</v>
      </c>
      <c r="C260" s="1" t="s">
        <v>60</v>
      </c>
      <c r="D260" s="1" t="s">
        <v>1138</v>
      </c>
      <c r="E260" s="1" t="s">
        <v>1139</v>
      </c>
      <c r="F260" s="1" t="str">
        <f>D260&amp;" "&amp;E260</f>
        <v>จำปา ภูสุรินทร์</v>
      </c>
      <c r="G260" s="1" t="s">
        <v>1140</v>
      </c>
      <c r="H260" s="1" t="s">
        <v>1141</v>
      </c>
      <c r="I260" s="1">
        <v>10617278</v>
      </c>
      <c r="J260" s="1" t="s">
        <v>45</v>
      </c>
      <c r="K260" s="1" t="s">
        <v>1142</v>
      </c>
      <c r="L260" s="1" t="s">
        <v>66</v>
      </c>
      <c r="M260" s="1" t="s">
        <v>48</v>
      </c>
      <c r="N260" s="1" t="s">
        <v>48</v>
      </c>
      <c r="O260" s="2">
        <v>45637</v>
      </c>
      <c r="P260" s="2">
        <v>45637</v>
      </c>
      <c r="Q260" s="1">
        <v>10358591</v>
      </c>
      <c r="R260" s="1" t="s">
        <v>921</v>
      </c>
      <c r="S260" s="3" t="s">
        <v>922</v>
      </c>
      <c r="T260" s="1" t="s">
        <v>52</v>
      </c>
      <c r="U260" s="1" t="s">
        <v>53</v>
      </c>
      <c r="V260" s="1" t="s">
        <v>54</v>
      </c>
      <c r="W260" s="1" t="s">
        <v>55</v>
      </c>
      <c r="X260" s="1">
        <v>1</v>
      </c>
      <c r="Y260" s="10" t="s">
        <v>923</v>
      </c>
      <c r="Z260" s="10" t="str">
        <f>_xlfn.XLOOKUP(B260,skill_metrix!A:A,skill_metrix!C:C,0)</f>
        <v>สามชั้น(พิเศษ)</v>
      </c>
      <c r="AA260" s="10"/>
      <c r="AB260" s="10" t="s">
        <v>1113</v>
      </c>
      <c r="AC260" s="32" t="s">
        <v>69</v>
      </c>
      <c r="AD260" s="10"/>
      <c r="AE260" s="10"/>
      <c r="AF260" s="10" t="s">
        <v>59</v>
      </c>
      <c r="AG260" s="10"/>
      <c r="AH260" s="10"/>
      <c r="AI260" s="24">
        <v>0.33333333333333331</v>
      </c>
      <c r="AJ260" s="24">
        <v>0.70833333333333337</v>
      </c>
      <c r="AK260" s="24">
        <v>0.91666666666666663</v>
      </c>
    </row>
    <row r="261" spans="1:39" ht="14.25" customHeight="1">
      <c r="A261">
        <v>385</v>
      </c>
      <c r="B261" s="1">
        <v>10685944</v>
      </c>
      <c r="C261" s="1" t="s">
        <v>415</v>
      </c>
      <c r="D261" s="1" t="s">
        <v>1143</v>
      </c>
      <c r="E261" s="1" t="s">
        <v>631</v>
      </c>
      <c r="F261" s="1" t="str">
        <f>D261&amp;" "&amp;E261</f>
        <v>ZAW YE THWIN -</v>
      </c>
      <c r="G261" s="1" t="s">
        <v>1143</v>
      </c>
      <c r="H261" s="1" t="s">
        <v>631</v>
      </c>
      <c r="I261" s="1">
        <v>10685944</v>
      </c>
      <c r="J261" s="1" t="s">
        <v>45</v>
      </c>
      <c r="K261" s="2">
        <v>46268</v>
      </c>
      <c r="L261" s="1" t="s">
        <v>66</v>
      </c>
      <c r="M261" s="1" t="s">
        <v>48</v>
      </c>
      <c r="N261" s="1" t="s">
        <v>98</v>
      </c>
      <c r="O261" s="2">
        <v>46180</v>
      </c>
      <c r="P261" s="1" t="s">
        <v>100</v>
      </c>
      <c r="Q261" s="1">
        <v>10358591</v>
      </c>
      <c r="R261" s="1" t="s">
        <v>921</v>
      </c>
      <c r="S261" s="3" t="s">
        <v>922</v>
      </c>
      <c r="T261" s="1" t="s">
        <v>52</v>
      </c>
      <c r="U261" s="1" t="s">
        <v>53</v>
      </c>
      <c r="V261" s="1" t="s">
        <v>54</v>
      </c>
      <c r="W261" s="1" t="s">
        <v>632</v>
      </c>
      <c r="X261" s="1">
        <v>1</v>
      </c>
      <c r="Y261" s="10" t="s">
        <v>923</v>
      </c>
      <c r="Z261" s="10" t="str">
        <f>_xlfn.XLOOKUP(B261,skill_metrix!A:A,skill_metrix!C:C,0)</f>
        <v>สามชั้น(พิเศษ)</v>
      </c>
      <c r="AA261" s="10"/>
      <c r="AB261" s="10" t="s">
        <v>1113</v>
      </c>
      <c r="AC261" s="32" t="s">
        <v>212</v>
      </c>
      <c r="AD261" s="10"/>
      <c r="AE261" s="10"/>
      <c r="AF261" s="10" t="s">
        <v>59</v>
      </c>
      <c r="AG261" s="10"/>
      <c r="AH261" s="10"/>
      <c r="AI261" s="24">
        <v>0.33333333333333331</v>
      </c>
      <c r="AJ261" s="24">
        <v>0.70833333333333337</v>
      </c>
      <c r="AK261" s="24">
        <v>0.91666666666666663</v>
      </c>
    </row>
    <row r="262" spans="1:39" ht="14.25" customHeight="1">
      <c r="A262">
        <v>379</v>
      </c>
      <c r="B262" s="1">
        <v>10685908</v>
      </c>
      <c r="C262" s="1" t="s">
        <v>762</v>
      </c>
      <c r="D262" s="1" t="s">
        <v>1144</v>
      </c>
      <c r="E262" s="1" t="s">
        <v>631</v>
      </c>
      <c r="F262" s="1" t="str">
        <f>D262&amp;" "&amp;E262</f>
        <v>YETAY -</v>
      </c>
      <c r="G262" s="1" t="s">
        <v>1144</v>
      </c>
      <c r="H262" s="1" t="s">
        <v>631</v>
      </c>
      <c r="I262" s="1">
        <v>10685908</v>
      </c>
      <c r="J262" s="1" t="s">
        <v>45</v>
      </c>
      <c r="K262" s="2">
        <v>46145</v>
      </c>
      <c r="L262" s="1" t="s">
        <v>66</v>
      </c>
      <c r="M262" s="1" t="s">
        <v>48</v>
      </c>
      <c r="N262" s="1" t="s">
        <v>98</v>
      </c>
      <c r="O262" s="2">
        <v>46060</v>
      </c>
      <c r="P262" s="1" t="s">
        <v>100</v>
      </c>
      <c r="Q262" s="1">
        <v>10358591</v>
      </c>
      <c r="R262" s="1" t="s">
        <v>921</v>
      </c>
      <c r="S262" s="3" t="s">
        <v>922</v>
      </c>
      <c r="T262" s="1" t="s">
        <v>52</v>
      </c>
      <c r="U262" s="1" t="s">
        <v>53</v>
      </c>
      <c r="V262" s="1" t="s">
        <v>54</v>
      </c>
      <c r="W262" s="1" t="s">
        <v>632</v>
      </c>
      <c r="X262" s="1">
        <v>1</v>
      </c>
      <c r="Y262" s="10" t="s">
        <v>923</v>
      </c>
      <c r="Z262" s="10" t="str">
        <f>_xlfn.XLOOKUP(B262,skill_metrix!A:A,skill_metrix!C:C,0)</f>
        <v>สามชั้น(พิเศษ)</v>
      </c>
      <c r="AA262" s="10"/>
      <c r="AB262" s="10" t="s">
        <v>1113</v>
      </c>
      <c r="AC262" s="32" t="s">
        <v>76</v>
      </c>
      <c r="AD262" s="10"/>
      <c r="AE262" s="10"/>
      <c r="AF262" s="10" t="s">
        <v>59</v>
      </c>
      <c r="AG262" s="10"/>
      <c r="AH262" s="10"/>
      <c r="AI262" s="24">
        <v>0.33333333333333331</v>
      </c>
      <c r="AJ262" s="24">
        <v>0.70833333333333337</v>
      </c>
      <c r="AK262" s="24">
        <v>0.91666666666666663</v>
      </c>
    </row>
    <row r="263" spans="1:39" ht="14.25" customHeight="1">
      <c r="A263">
        <v>383</v>
      </c>
      <c r="B263" s="1">
        <v>10685923</v>
      </c>
      <c r="C263" s="1" t="s">
        <v>627</v>
      </c>
      <c r="D263" s="1" t="s">
        <v>1145</v>
      </c>
      <c r="E263" s="1" t="s">
        <v>631</v>
      </c>
      <c r="F263" s="1" t="str">
        <f>D263&amp;" "&amp;E263</f>
        <v>SAN SAN HTAY -</v>
      </c>
      <c r="G263" s="1" t="s">
        <v>1145</v>
      </c>
      <c r="H263" s="1" t="s">
        <v>631</v>
      </c>
      <c r="I263" s="1">
        <v>10685923</v>
      </c>
      <c r="J263" s="1" t="s">
        <v>45</v>
      </c>
      <c r="K263" s="2">
        <v>46268</v>
      </c>
      <c r="L263" s="1" t="s">
        <v>66</v>
      </c>
      <c r="M263" s="1" t="s">
        <v>48</v>
      </c>
      <c r="N263" s="1" t="s">
        <v>98</v>
      </c>
      <c r="O263" s="2">
        <v>46180</v>
      </c>
      <c r="P263" s="1" t="s">
        <v>100</v>
      </c>
      <c r="Q263" s="1">
        <v>10358591</v>
      </c>
      <c r="R263" s="1" t="s">
        <v>921</v>
      </c>
      <c r="S263" s="3" t="s">
        <v>922</v>
      </c>
      <c r="T263" s="1" t="s">
        <v>52</v>
      </c>
      <c r="U263" s="1" t="s">
        <v>53</v>
      </c>
      <c r="V263" s="1" t="s">
        <v>54</v>
      </c>
      <c r="W263" s="1" t="s">
        <v>632</v>
      </c>
      <c r="X263" s="1">
        <v>1</v>
      </c>
      <c r="Y263" s="10" t="s">
        <v>923</v>
      </c>
      <c r="Z263" s="10">
        <f>_xlfn.XLOOKUP(B263,skill_metrix!A:A,skill_metrix!C:C,0)</f>
        <v>0</v>
      </c>
      <c r="AA263" s="10"/>
      <c r="AB263" s="10" t="s">
        <v>1113</v>
      </c>
      <c r="AC263" s="32" t="s">
        <v>91</v>
      </c>
      <c r="AD263" s="10"/>
      <c r="AE263" s="10"/>
      <c r="AF263" s="10" t="s">
        <v>59</v>
      </c>
      <c r="AG263" s="10"/>
      <c r="AH263" s="10"/>
      <c r="AI263" s="24">
        <v>0.33333333333333331</v>
      </c>
      <c r="AJ263" s="24">
        <v>0.70833333333333337</v>
      </c>
      <c r="AK263" s="24">
        <v>0.91666666666666663</v>
      </c>
    </row>
    <row r="264" spans="1:39" ht="14.25" customHeight="1">
      <c r="A264">
        <v>326</v>
      </c>
      <c r="B264" s="1">
        <v>10668206</v>
      </c>
      <c r="C264" s="1" t="s">
        <v>627</v>
      </c>
      <c r="D264" s="1" t="s">
        <v>1146</v>
      </c>
      <c r="E264" s="1" t="s">
        <v>631</v>
      </c>
      <c r="F264" s="1" t="str">
        <f>D264&amp;" "&amp;E264</f>
        <v>OHNMAR MYINT -</v>
      </c>
      <c r="G264" s="1" t="s">
        <v>1146</v>
      </c>
      <c r="H264" s="1" t="s">
        <v>631</v>
      </c>
      <c r="I264" s="1">
        <v>10668206</v>
      </c>
      <c r="J264" s="1" t="s">
        <v>45</v>
      </c>
      <c r="K264" s="2">
        <v>45667</v>
      </c>
      <c r="L264" s="1" t="s">
        <v>66</v>
      </c>
      <c r="M264" s="1" t="s">
        <v>48</v>
      </c>
      <c r="N264" s="1" t="s">
        <v>48</v>
      </c>
      <c r="O264" s="1" t="s">
        <v>936</v>
      </c>
      <c r="P264" s="1" t="s">
        <v>936</v>
      </c>
      <c r="Q264" s="1">
        <v>10358591</v>
      </c>
      <c r="R264" s="1" t="s">
        <v>921</v>
      </c>
      <c r="S264" s="3" t="s">
        <v>922</v>
      </c>
      <c r="T264" s="1" t="s">
        <v>52</v>
      </c>
      <c r="U264" s="1" t="s">
        <v>53</v>
      </c>
      <c r="V264" s="1" t="s">
        <v>54</v>
      </c>
      <c r="W264" s="1" t="s">
        <v>632</v>
      </c>
      <c r="X264" s="1">
        <v>1</v>
      </c>
      <c r="Y264" s="10" t="s">
        <v>923</v>
      </c>
      <c r="Z264" s="10" t="str">
        <f>_xlfn.XLOOKUP(B264,skill_metrix!A:A,skill_metrix!C:C,0)</f>
        <v>สามชั้น(พิเศษ)</v>
      </c>
      <c r="AA264" s="10"/>
      <c r="AB264" s="10" t="s">
        <v>1113</v>
      </c>
      <c r="AC264" s="32" t="s">
        <v>138</v>
      </c>
      <c r="AD264" s="10"/>
      <c r="AE264" s="10"/>
      <c r="AF264" s="10" t="s">
        <v>59</v>
      </c>
      <c r="AG264" s="10"/>
      <c r="AH264" s="10"/>
      <c r="AI264" s="24">
        <v>0.33333333333333331</v>
      </c>
      <c r="AJ264" s="24">
        <v>0.70833333333333337</v>
      </c>
      <c r="AK264" s="24">
        <v>0.91666666666666663</v>
      </c>
    </row>
    <row r="265" spans="1:39" ht="14.25" customHeight="1">
      <c r="A265">
        <v>112</v>
      </c>
      <c r="B265" s="1">
        <v>10524352</v>
      </c>
      <c r="C265" s="1" t="s">
        <v>415</v>
      </c>
      <c r="D265" s="1" t="s">
        <v>1147</v>
      </c>
      <c r="E265" s="1" t="s">
        <v>679</v>
      </c>
      <c r="F265" s="1" t="str">
        <f>D265&amp;" "&amp;E265</f>
        <v>LIHOR HAN</v>
      </c>
      <c r="G265" s="1" t="s">
        <v>1147</v>
      </c>
      <c r="H265" s="1" t="s">
        <v>679</v>
      </c>
      <c r="I265" s="1">
        <v>10524352</v>
      </c>
      <c r="J265" s="1" t="s">
        <v>45</v>
      </c>
      <c r="K265" s="2">
        <v>44568</v>
      </c>
      <c r="L265" s="1" t="s">
        <v>66</v>
      </c>
      <c r="M265" s="1" t="s">
        <v>48</v>
      </c>
      <c r="N265" s="1" t="s">
        <v>48</v>
      </c>
      <c r="O265" s="1" t="s">
        <v>1148</v>
      </c>
      <c r="P265" s="1" t="s">
        <v>1148</v>
      </c>
      <c r="Q265" s="1">
        <v>10358591</v>
      </c>
      <c r="R265" s="1" t="s">
        <v>921</v>
      </c>
      <c r="S265" s="3" t="s">
        <v>922</v>
      </c>
      <c r="T265" s="1" t="s">
        <v>52</v>
      </c>
      <c r="U265" s="1" t="s">
        <v>53</v>
      </c>
      <c r="V265" s="1" t="s">
        <v>54</v>
      </c>
      <c r="W265" s="1" t="s">
        <v>418</v>
      </c>
      <c r="X265" s="1">
        <v>1</v>
      </c>
      <c r="Y265" s="10" t="s">
        <v>923</v>
      </c>
      <c r="Z265" s="10" t="str">
        <f>_xlfn.XLOOKUP(B265,skill_metrix!A:A,skill_metrix!C:C,0)</f>
        <v>สามชั้น(พิเศษ)</v>
      </c>
      <c r="AA265" s="10"/>
      <c r="AB265" s="10" t="s">
        <v>1113</v>
      </c>
      <c r="AC265" s="32" t="s">
        <v>91</v>
      </c>
      <c r="AD265" s="10"/>
      <c r="AE265" s="10"/>
      <c r="AF265" s="10" t="s">
        <v>59</v>
      </c>
      <c r="AG265" s="10"/>
      <c r="AH265" s="10"/>
      <c r="AI265" s="24">
        <v>0.33333333333333331</v>
      </c>
      <c r="AJ265" s="24">
        <v>0.70833333333333337</v>
      </c>
      <c r="AK265" s="24">
        <v>0.91666666666666663</v>
      </c>
    </row>
    <row r="266" spans="1:39" ht="14.25" customHeight="1">
      <c r="A266">
        <v>380</v>
      </c>
      <c r="B266" s="1">
        <v>10685912</v>
      </c>
      <c r="C266" s="1" t="s">
        <v>627</v>
      </c>
      <c r="D266" s="1" t="s">
        <v>1149</v>
      </c>
      <c r="E266" s="1" t="s">
        <v>631</v>
      </c>
      <c r="F266" s="1" t="str">
        <f>D266&amp;" "&amp;E266</f>
        <v>HTET HTET AUNG -</v>
      </c>
      <c r="G266" s="1" t="s">
        <v>1149</v>
      </c>
      <c r="H266" s="1" t="s">
        <v>631</v>
      </c>
      <c r="I266" s="1">
        <v>10685912</v>
      </c>
      <c r="J266" s="1" t="s">
        <v>45</v>
      </c>
      <c r="K266" s="2">
        <v>46268</v>
      </c>
      <c r="L266" s="1" t="s">
        <v>66</v>
      </c>
      <c r="M266" s="1" t="s">
        <v>48</v>
      </c>
      <c r="N266" s="1" t="s">
        <v>98</v>
      </c>
      <c r="O266" s="2">
        <v>46180</v>
      </c>
      <c r="P266" s="1" t="s">
        <v>100</v>
      </c>
      <c r="Q266" s="1">
        <v>10358591</v>
      </c>
      <c r="R266" s="1" t="s">
        <v>921</v>
      </c>
      <c r="S266" s="3" t="s">
        <v>922</v>
      </c>
      <c r="T266" s="1" t="s">
        <v>52</v>
      </c>
      <c r="U266" s="1" t="s">
        <v>53</v>
      </c>
      <c r="V266" s="1" t="s">
        <v>54</v>
      </c>
      <c r="W266" s="1" t="s">
        <v>632</v>
      </c>
      <c r="X266" s="1">
        <v>1</v>
      </c>
      <c r="Y266" s="10" t="s">
        <v>923</v>
      </c>
      <c r="Z266" s="10" t="str">
        <f>_xlfn.XLOOKUP(B266,skill_metrix!A:A,skill_metrix!C:C,0)</f>
        <v>สามชั้น(พิเศษ)</v>
      </c>
      <c r="AA266" s="10"/>
      <c r="AB266" s="10" t="s">
        <v>1113</v>
      </c>
      <c r="AC266" s="32" t="s">
        <v>212</v>
      </c>
      <c r="AD266" s="10"/>
      <c r="AE266" s="10"/>
      <c r="AF266" s="10" t="s">
        <v>59</v>
      </c>
      <c r="AG266" s="10"/>
      <c r="AH266" s="10"/>
      <c r="AI266" s="24">
        <v>0.33333333333333331</v>
      </c>
      <c r="AJ266" s="24">
        <v>0.70833333333333337</v>
      </c>
      <c r="AK266" s="24">
        <v>0.91666666666666663</v>
      </c>
    </row>
    <row r="267" spans="1:39" ht="14.25" customHeight="1">
      <c r="A267">
        <v>371</v>
      </c>
      <c r="B267" s="1">
        <v>10685864</v>
      </c>
      <c r="C267" s="1" t="s">
        <v>415</v>
      </c>
      <c r="D267" s="1" t="s">
        <v>1150</v>
      </c>
      <c r="E267" s="1" t="s">
        <v>631</v>
      </c>
      <c r="F267" s="1" t="str">
        <f>D267&amp;" "&amp;E267</f>
        <v>AUNG THET OO -</v>
      </c>
      <c r="G267" s="1" t="s">
        <v>1150</v>
      </c>
      <c r="H267" s="1" t="s">
        <v>631</v>
      </c>
      <c r="I267" s="1">
        <v>10685864</v>
      </c>
      <c r="J267" s="1" t="s">
        <v>45</v>
      </c>
      <c r="K267" s="2">
        <v>46145</v>
      </c>
      <c r="L267" s="1" t="s">
        <v>66</v>
      </c>
      <c r="M267" s="1" t="s">
        <v>48</v>
      </c>
      <c r="N267" s="1" t="s">
        <v>98</v>
      </c>
      <c r="O267" s="2">
        <v>46060</v>
      </c>
      <c r="P267" s="1" t="s">
        <v>100</v>
      </c>
      <c r="Q267" s="1">
        <v>10358591</v>
      </c>
      <c r="R267" s="1" t="s">
        <v>921</v>
      </c>
      <c r="S267" s="3" t="s">
        <v>922</v>
      </c>
      <c r="T267" s="1" t="s">
        <v>52</v>
      </c>
      <c r="U267" s="1" t="s">
        <v>53</v>
      </c>
      <c r="V267" s="1" t="s">
        <v>54</v>
      </c>
      <c r="W267" s="1" t="s">
        <v>632</v>
      </c>
      <c r="X267" s="1">
        <v>1</v>
      </c>
      <c r="Y267" s="10" t="s">
        <v>923</v>
      </c>
      <c r="Z267" s="10" t="str">
        <f>_xlfn.XLOOKUP(B267,skill_metrix!A:A,skill_metrix!C:C,0)</f>
        <v>สามชั้น(พิเศษ)</v>
      </c>
      <c r="AA267" s="10"/>
      <c r="AB267" s="10" t="s">
        <v>1113</v>
      </c>
      <c r="AC267" s="32" t="s">
        <v>69</v>
      </c>
      <c r="AD267" s="10"/>
      <c r="AE267" s="10"/>
      <c r="AF267" s="10" t="s">
        <v>59</v>
      </c>
      <c r="AG267" s="10"/>
      <c r="AH267" s="10"/>
      <c r="AI267" s="24">
        <v>0.33333333333333331</v>
      </c>
      <c r="AJ267" s="24">
        <v>0.70833333333333337</v>
      </c>
      <c r="AK267" s="24">
        <v>0.91666666666666663</v>
      </c>
    </row>
    <row r="268" spans="1:39" ht="14.25" customHeight="1">
      <c r="A268">
        <v>301</v>
      </c>
      <c r="B268" s="1">
        <v>10666757</v>
      </c>
      <c r="C268" s="1" t="s">
        <v>39</v>
      </c>
      <c r="D268" s="1" t="s">
        <v>1151</v>
      </c>
      <c r="E268" s="1" t="s">
        <v>1152</v>
      </c>
      <c r="F268" s="1" t="str">
        <f>D268&amp;" "&amp;E268</f>
        <v>บัณฑิตา ปิ่นเกตุ</v>
      </c>
      <c r="G268" s="1" t="s">
        <v>1153</v>
      </c>
      <c r="H268" s="1" t="s">
        <v>1154</v>
      </c>
      <c r="I268" s="1">
        <v>10666757</v>
      </c>
      <c r="J268" s="1" t="s">
        <v>45</v>
      </c>
      <c r="K268" s="1" t="s">
        <v>877</v>
      </c>
      <c r="L268" s="1" t="s">
        <v>66</v>
      </c>
      <c r="M268" s="1" t="s">
        <v>48</v>
      </c>
      <c r="N268" s="1" t="s">
        <v>48</v>
      </c>
      <c r="O268" s="1" t="s">
        <v>878</v>
      </c>
      <c r="P268" s="1" t="s">
        <v>878</v>
      </c>
      <c r="Q268" s="1">
        <v>10358628</v>
      </c>
      <c r="R268" s="1" t="s">
        <v>981</v>
      </c>
      <c r="S268" s="3" t="s">
        <v>922</v>
      </c>
      <c r="T268" s="1" t="s">
        <v>52</v>
      </c>
      <c r="U268" s="1" t="s">
        <v>53</v>
      </c>
      <c r="V268" s="1" t="s">
        <v>54</v>
      </c>
      <c r="W268" s="1" t="s">
        <v>55</v>
      </c>
      <c r="X268" s="1">
        <v>1</v>
      </c>
      <c r="Y268" s="10" t="s">
        <v>923</v>
      </c>
      <c r="Z268" s="10" t="str">
        <f>_xlfn.XLOOKUP(B268,skill_metrix!A:A,skill_metrix!C:C,0)</f>
        <v>สามชั้น(พิเศษ)</v>
      </c>
      <c r="AA268" s="10"/>
      <c r="AB268" s="10" t="s">
        <v>1113</v>
      </c>
      <c r="AC268" s="32" t="s">
        <v>76</v>
      </c>
      <c r="AD268" s="10" t="s">
        <v>1155</v>
      </c>
      <c r="AE268" s="10"/>
      <c r="AF268" s="10" t="s">
        <v>77</v>
      </c>
      <c r="AG268" s="10"/>
      <c r="AH268" s="10"/>
      <c r="AI268" s="24"/>
      <c r="AJ268" s="24"/>
      <c r="AK268" s="24"/>
      <c r="AL268" s="24">
        <v>0.58333333333333337</v>
      </c>
      <c r="AM268" s="24">
        <v>0.95833333333333337</v>
      </c>
    </row>
    <row r="269" spans="1:39" ht="14.25" customHeight="1">
      <c r="A269">
        <v>69</v>
      </c>
      <c r="B269" s="1">
        <v>10416379</v>
      </c>
      <c r="C269" s="1" t="s">
        <v>92</v>
      </c>
      <c r="D269" s="1" t="s">
        <v>1156</v>
      </c>
      <c r="E269" s="1" t="s">
        <v>1157</v>
      </c>
      <c r="F269" s="1" t="str">
        <f>D269&amp;" "&amp;E269</f>
        <v>เกรียงไกร อินทรภูติ</v>
      </c>
      <c r="G269" s="1" t="s">
        <v>1158</v>
      </c>
      <c r="H269" s="1" t="s">
        <v>1159</v>
      </c>
      <c r="I269" s="1" t="s">
        <v>1160</v>
      </c>
      <c r="J269" s="1" t="s">
        <v>45</v>
      </c>
      <c r="K269" s="2">
        <v>44287</v>
      </c>
      <c r="L269" s="1" t="s">
        <v>47</v>
      </c>
      <c r="M269" s="1" t="s">
        <v>48</v>
      </c>
      <c r="N269" s="1" t="s">
        <v>48</v>
      </c>
      <c r="O269" s="2">
        <v>44260</v>
      </c>
      <c r="P269" s="2">
        <v>44260</v>
      </c>
      <c r="Q269" s="1">
        <v>10358618</v>
      </c>
      <c r="R269" s="1" t="s">
        <v>1027</v>
      </c>
      <c r="S269" s="3" t="s">
        <v>922</v>
      </c>
      <c r="T269" s="1" t="s">
        <v>52</v>
      </c>
      <c r="U269" s="1" t="s">
        <v>53</v>
      </c>
      <c r="V269" s="1" t="s">
        <v>54</v>
      </c>
      <c r="W269" s="1" t="s">
        <v>55</v>
      </c>
      <c r="X269" s="1">
        <v>1</v>
      </c>
      <c r="Y269" s="10" t="s">
        <v>923</v>
      </c>
      <c r="Z269" s="10" t="str">
        <f>_xlfn.XLOOKUP(B269,skill_metrix!A:A,skill_metrix!C:C,0)</f>
        <v>สามชั้น(พิเศษ)</v>
      </c>
      <c r="AA269" s="10"/>
      <c r="AB269" s="10" t="s">
        <v>1113</v>
      </c>
      <c r="AC269" s="32" t="s">
        <v>84</v>
      </c>
      <c r="AD269" s="10" t="s">
        <v>1155</v>
      </c>
      <c r="AE269" s="10"/>
      <c r="AF269" s="10" t="s">
        <v>77</v>
      </c>
      <c r="AG269" s="10"/>
      <c r="AH269" s="10"/>
      <c r="AI269" s="24"/>
      <c r="AJ269" s="24"/>
      <c r="AK269" s="24"/>
      <c r="AL269" s="24">
        <v>0.58333333333333337</v>
      </c>
      <c r="AM269" s="24">
        <v>0.95833333333333337</v>
      </c>
    </row>
    <row r="270" spans="1:39" ht="14.25" customHeight="1">
      <c r="A270">
        <v>241</v>
      </c>
      <c r="B270" s="1">
        <v>10654256</v>
      </c>
      <c r="C270" s="1" t="s">
        <v>92</v>
      </c>
      <c r="D270" s="1" t="s">
        <v>1161</v>
      </c>
      <c r="E270" s="1" t="s">
        <v>1162</v>
      </c>
      <c r="F270" s="1" t="str">
        <f>D270&amp;" "&amp;E270</f>
        <v>ผจญ จิตประไพ</v>
      </c>
      <c r="G270" s="1" t="s">
        <v>1163</v>
      </c>
      <c r="H270" s="1" t="s">
        <v>1164</v>
      </c>
      <c r="I270" s="1">
        <v>10654256</v>
      </c>
      <c r="J270" s="1" t="s">
        <v>45</v>
      </c>
      <c r="K270" s="2">
        <v>45845</v>
      </c>
      <c r="L270" s="1" t="s">
        <v>66</v>
      </c>
      <c r="M270" s="1" t="s">
        <v>48</v>
      </c>
      <c r="N270" s="1" t="s">
        <v>48</v>
      </c>
      <c r="O270" s="2">
        <v>45727</v>
      </c>
      <c r="P270" s="2">
        <v>45727</v>
      </c>
      <c r="Q270" s="1">
        <v>10405354</v>
      </c>
      <c r="R270" s="1" t="s">
        <v>1165</v>
      </c>
      <c r="S270" s="3" t="s">
        <v>922</v>
      </c>
      <c r="T270" s="1" t="s">
        <v>52</v>
      </c>
      <c r="U270" s="1" t="s">
        <v>53</v>
      </c>
      <c r="V270" s="1" t="s">
        <v>54</v>
      </c>
      <c r="W270" s="1" t="s">
        <v>55</v>
      </c>
      <c r="X270" s="1">
        <v>1</v>
      </c>
      <c r="Y270" s="10" t="s">
        <v>923</v>
      </c>
      <c r="Z270" s="10">
        <f>_xlfn.XLOOKUP(B270,skill_metrix!A:A,skill_metrix!C:C,0)</f>
        <v>0</v>
      </c>
      <c r="AA270" s="10"/>
      <c r="AB270" s="10" t="s">
        <v>1166</v>
      </c>
      <c r="AC270" s="32" t="s">
        <v>91</v>
      </c>
      <c r="AD270" s="10"/>
      <c r="AE270" s="10"/>
      <c r="AF270" s="10" t="s">
        <v>59</v>
      </c>
      <c r="AG270" s="28"/>
      <c r="AH270" s="28"/>
      <c r="AI270" s="24">
        <v>0.33333333333333331</v>
      </c>
      <c r="AJ270" s="24">
        <v>0.70833333333333337</v>
      </c>
    </row>
    <row r="271" spans="1:39" ht="14.25" customHeight="1">
      <c r="A271">
        <v>35</v>
      </c>
      <c r="B271" s="1">
        <v>10361555</v>
      </c>
      <c r="C271" s="1" t="s">
        <v>39</v>
      </c>
      <c r="D271" s="1" t="s">
        <v>1167</v>
      </c>
      <c r="E271" s="1" t="s">
        <v>1168</v>
      </c>
      <c r="F271" s="1" t="str">
        <f>D271&amp;" "&amp;E271</f>
        <v>เกษร ศรีสุข</v>
      </c>
      <c r="G271" s="1" t="s">
        <v>1169</v>
      </c>
      <c r="H271" s="1" t="s">
        <v>1170</v>
      </c>
      <c r="I271" s="1" t="s">
        <v>1171</v>
      </c>
      <c r="J271" s="1" t="s">
        <v>45</v>
      </c>
      <c r="K271" s="2">
        <v>43467</v>
      </c>
      <c r="L271" s="1" t="s">
        <v>47</v>
      </c>
      <c r="M271" s="1" t="s">
        <v>48</v>
      </c>
      <c r="N271" s="1" t="s">
        <v>48</v>
      </c>
      <c r="O271" s="1" t="s">
        <v>428</v>
      </c>
      <c r="P271" s="1" t="s">
        <v>428</v>
      </c>
      <c r="Q271" s="1">
        <v>10405352</v>
      </c>
      <c r="R271" s="1" t="s">
        <v>1172</v>
      </c>
      <c r="S271" s="3" t="s">
        <v>922</v>
      </c>
      <c r="T271" s="1" t="s">
        <v>52</v>
      </c>
      <c r="U271" s="1" t="s">
        <v>53</v>
      </c>
      <c r="V271" s="1" t="s">
        <v>54</v>
      </c>
      <c r="W271" s="1" t="s">
        <v>55</v>
      </c>
      <c r="X271" s="1">
        <v>1</v>
      </c>
      <c r="Y271" s="10" t="s">
        <v>923</v>
      </c>
      <c r="Z271" s="10">
        <f>_xlfn.XLOOKUP(B271,skill_metrix!A:A,skill_metrix!C:C,0)</f>
        <v>0</v>
      </c>
      <c r="AA271" s="10"/>
      <c r="AB271" s="10" t="s">
        <v>1166</v>
      </c>
      <c r="AC271" s="32" t="s">
        <v>212</v>
      </c>
      <c r="AD271" s="10"/>
      <c r="AE271" s="10"/>
      <c r="AF271" s="10" t="s">
        <v>59</v>
      </c>
      <c r="AG271" s="28"/>
      <c r="AH271" s="28"/>
      <c r="AI271" s="24">
        <v>0.33333333333333331</v>
      </c>
      <c r="AJ271" s="24">
        <v>0.70833333333333337</v>
      </c>
    </row>
    <row r="272" spans="1:39" ht="14.25" customHeight="1">
      <c r="A272">
        <v>378</v>
      </c>
      <c r="B272" s="1">
        <v>10685901</v>
      </c>
      <c r="C272" s="1" t="s">
        <v>627</v>
      </c>
      <c r="D272" s="1" t="s">
        <v>1173</v>
      </c>
      <c r="E272" s="1" t="s">
        <v>631</v>
      </c>
      <c r="F272" s="1" t="str">
        <f>D272&amp;" "&amp;E272</f>
        <v>TWE TWE SOE -</v>
      </c>
      <c r="G272" s="1" t="s">
        <v>1173</v>
      </c>
      <c r="H272" s="1" t="s">
        <v>631</v>
      </c>
      <c r="I272" s="1">
        <v>10685901</v>
      </c>
      <c r="J272" s="1" t="s">
        <v>45</v>
      </c>
      <c r="K272" s="2">
        <v>46145</v>
      </c>
      <c r="L272" s="1" t="s">
        <v>66</v>
      </c>
      <c r="M272" s="1" t="s">
        <v>48</v>
      </c>
      <c r="N272" s="1" t="s">
        <v>98</v>
      </c>
      <c r="O272" s="2">
        <v>46060</v>
      </c>
      <c r="P272" s="1" t="s">
        <v>100</v>
      </c>
      <c r="Q272" s="1">
        <v>10405354</v>
      </c>
      <c r="R272" s="1" t="s">
        <v>1165</v>
      </c>
      <c r="S272" s="3" t="s">
        <v>922</v>
      </c>
      <c r="T272" s="1" t="s">
        <v>52</v>
      </c>
      <c r="U272" s="1" t="s">
        <v>53</v>
      </c>
      <c r="V272" s="1" t="s">
        <v>54</v>
      </c>
      <c r="W272" s="1" t="s">
        <v>632</v>
      </c>
      <c r="X272" s="1">
        <v>1</v>
      </c>
      <c r="Y272" s="10" t="s">
        <v>923</v>
      </c>
      <c r="Z272" s="10" t="str">
        <f>_xlfn.XLOOKUP(B272,skill_metrix!A:A,skill_metrix!C:C,0)</f>
        <v>สไลด์</v>
      </c>
      <c r="AA272" s="10"/>
      <c r="AB272" s="10" t="s">
        <v>1166</v>
      </c>
      <c r="AC272" s="32" t="s">
        <v>69</v>
      </c>
      <c r="AD272" s="10"/>
      <c r="AE272" s="10"/>
      <c r="AF272" s="10" t="s">
        <v>59</v>
      </c>
      <c r="AG272" s="28"/>
      <c r="AH272" s="28"/>
      <c r="AI272" s="24">
        <v>0.33333333333333331</v>
      </c>
      <c r="AJ272" s="24">
        <v>0.70833333333333337</v>
      </c>
    </row>
    <row r="273" spans="1:39" ht="14.25" customHeight="1">
      <c r="A273">
        <v>312</v>
      </c>
      <c r="B273" s="1">
        <v>10666855</v>
      </c>
      <c r="C273" s="1" t="s">
        <v>415</v>
      </c>
      <c r="D273" s="1" t="s">
        <v>1174</v>
      </c>
      <c r="E273" s="1" t="s">
        <v>631</v>
      </c>
      <c r="F273" s="1" t="str">
        <f>D273&amp;" "&amp;E273</f>
        <v>THET LIN -</v>
      </c>
      <c r="G273" s="1" t="s">
        <v>1174</v>
      </c>
      <c r="H273" s="1" t="s">
        <v>631</v>
      </c>
      <c r="I273" s="1">
        <v>10666855</v>
      </c>
      <c r="J273" s="1" t="s">
        <v>45</v>
      </c>
      <c r="K273" s="1" t="s">
        <v>877</v>
      </c>
      <c r="L273" s="1" t="s">
        <v>66</v>
      </c>
      <c r="M273" s="1" t="s">
        <v>48</v>
      </c>
      <c r="N273" s="1" t="s">
        <v>48</v>
      </c>
      <c r="O273" s="1" t="s">
        <v>878</v>
      </c>
      <c r="P273" s="1" t="s">
        <v>878</v>
      </c>
      <c r="Q273" s="1">
        <v>10405354</v>
      </c>
      <c r="R273" s="1" t="s">
        <v>1165</v>
      </c>
      <c r="S273" s="3" t="s">
        <v>922</v>
      </c>
      <c r="T273" s="1" t="s">
        <v>52</v>
      </c>
      <c r="U273" s="1" t="s">
        <v>53</v>
      </c>
      <c r="V273" s="1" t="s">
        <v>54</v>
      </c>
      <c r="W273" s="1" t="s">
        <v>632</v>
      </c>
      <c r="X273" s="1">
        <v>1</v>
      </c>
      <c r="Y273" s="10" t="s">
        <v>923</v>
      </c>
      <c r="Z273" s="10">
        <f>_xlfn.XLOOKUP(B273,skill_metrix!A:A,skill_metrix!C:C,0)</f>
        <v>0</v>
      </c>
      <c r="AA273" s="10"/>
      <c r="AB273" s="10" t="s">
        <v>1166</v>
      </c>
      <c r="AC273" s="32" t="s">
        <v>138</v>
      </c>
      <c r="AD273" s="10"/>
      <c r="AE273" s="10"/>
      <c r="AF273" s="10" t="s">
        <v>59</v>
      </c>
      <c r="AG273" s="28"/>
      <c r="AH273" s="28"/>
      <c r="AI273" s="24">
        <v>0.33333333333333331</v>
      </c>
      <c r="AJ273" s="24">
        <v>0.70833333333333337</v>
      </c>
    </row>
    <row r="274" spans="1:39" ht="14.25" customHeight="1">
      <c r="A274">
        <v>384</v>
      </c>
      <c r="B274" s="1">
        <v>10685933</v>
      </c>
      <c r="C274" s="1" t="s">
        <v>627</v>
      </c>
      <c r="D274" s="1" t="s">
        <v>1175</v>
      </c>
      <c r="E274" s="1" t="s">
        <v>631</v>
      </c>
      <c r="F274" s="1" t="str">
        <f>D274&amp;" "&amp;E274</f>
        <v>SHWE YAMIN -</v>
      </c>
      <c r="G274" s="1" t="s">
        <v>1175</v>
      </c>
      <c r="H274" s="1" t="s">
        <v>631</v>
      </c>
      <c r="I274" s="1">
        <v>10685933</v>
      </c>
      <c r="J274" s="1" t="s">
        <v>45</v>
      </c>
      <c r="K274" s="2">
        <v>46268</v>
      </c>
      <c r="L274" s="1" t="s">
        <v>66</v>
      </c>
      <c r="M274" s="1" t="s">
        <v>48</v>
      </c>
      <c r="N274" s="1" t="s">
        <v>98</v>
      </c>
      <c r="O274" s="2">
        <v>46180</v>
      </c>
      <c r="P274" s="1" t="s">
        <v>100</v>
      </c>
      <c r="Q274" s="1">
        <v>10405354</v>
      </c>
      <c r="R274" s="1" t="s">
        <v>1165</v>
      </c>
      <c r="S274" s="3" t="s">
        <v>922</v>
      </c>
      <c r="T274" s="1" t="s">
        <v>52</v>
      </c>
      <c r="U274" s="1" t="s">
        <v>53</v>
      </c>
      <c r="V274" s="1" t="s">
        <v>54</v>
      </c>
      <c r="W274" s="1" t="s">
        <v>632</v>
      </c>
      <c r="X274" s="1">
        <v>1</v>
      </c>
      <c r="Y274" s="10" t="s">
        <v>923</v>
      </c>
      <c r="Z274" s="10" t="str">
        <f>_xlfn.XLOOKUP(B274,skill_metrix!A:A,skill_metrix!C:C,0)</f>
        <v>หมูบด</v>
      </c>
      <c r="AA274" s="10"/>
      <c r="AB274" s="10" t="s">
        <v>1166</v>
      </c>
      <c r="AC274" s="32" t="s">
        <v>76</v>
      </c>
      <c r="AD274" s="10"/>
      <c r="AE274" s="10"/>
      <c r="AF274" s="10" t="s">
        <v>59</v>
      </c>
      <c r="AG274" s="28"/>
      <c r="AH274" s="28"/>
      <c r="AI274" s="24">
        <v>0.33333333333333331</v>
      </c>
      <c r="AJ274" s="24">
        <v>0.70833333333333337</v>
      </c>
    </row>
    <row r="275" spans="1:39" ht="14.25" customHeight="1">
      <c r="A275">
        <v>321</v>
      </c>
      <c r="B275" s="1">
        <v>10668132</v>
      </c>
      <c r="C275" s="1" t="s">
        <v>627</v>
      </c>
      <c r="D275" s="1" t="s">
        <v>1176</v>
      </c>
      <c r="E275" s="1" t="s">
        <v>631</v>
      </c>
      <c r="F275" s="1" t="str">
        <f>D275&amp;" "&amp;E275</f>
        <v>MA THADAR -</v>
      </c>
      <c r="G275" s="1" t="s">
        <v>1176</v>
      </c>
      <c r="H275" s="1" t="s">
        <v>631</v>
      </c>
      <c r="I275" s="1">
        <v>10668132</v>
      </c>
      <c r="J275" s="1" t="s">
        <v>45</v>
      </c>
      <c r="K275" s="2">
        <v>45667</v>
      </c>
      <c r="L275" s="1" t="s">
        <v>66</v>
      </c>
      <c r="M275" s="1" t="s">
        <v>48</v>
      </c>
      <c r="N275" s="1" t="s">
        <v>48</v>
      </c>
      <c r="O275" s="1" t="s">
        <v>936</v>
      </c>
      <c r="P275" s="1" t="s">
        <v>936</v>
      </c>
      <c r="Q275" s="1">
        <v>10405354</v>
      </c>
      <c r="R275" s="1" t="s">
        <v>1165</v>
      </c>
      <c r="S275" s="3" t="s">
        <v>922</v>
      </c>
      <c r="T275" s="1" t="s">
        <v>52</v>
      </c>
      <c r="U275" s="1" t="s">
        <v>53</v>
      </c>
      <c r="V275" s="1" t="s">
        <v>54</v>
      </c>
      <c r="W275" s="1" t="s">
        <v>632</v>
      </c>
      <c r="X275" s="1">
        <v>1</v>
      </c>
      <c r="Y275" s="10" t="s">
        <v>923</v>
      </c>
      <c r="Z275" s="10" t="str">
        <f>_xlfn.XLOOKUP(B275,skill_metrix!A:A,skill_metrix!C:C,0)</f>
        <v>เลาะขา</v>
      </c>
      <c r="AA275" s="10"/>
      <c r="AB275" s="10" t="s">
        <v>1166</v>
      </c>
      <c r="AC275" s="32" t="s">
        <v>58</v>
      </c>
      <c r="AD275" s="10"/>
      <c r="AE275" s="10"/>
      <c r="AF275" s="10" t="s">
        <v>59</v>
      </c>
      <c r="AG275" s="28"/>
      <c r="AH275" s="28"/>
      <c r="AI275" s="24">
        <v>0.33333333333333331</v>
      </c>
      <c r="AJ275" s="24">
        <v>0.70833333333333337</v>
      </c>
    </row>
    <row r="276" spans="1:39" ht="14.25" customHeight="1">
      <c r="A276">
        <v>318</v>
      </c>
      <c r="B276" s="1">
        <v>10668111</v>
      </c>
      <c r="C276" s="1" t="s">
        <v>415</v>
      </c>
      <c r="D276" s="1" t="s">
        <v>1177</v>
      </c>
      <c r="E276" s="1" t="s">
        <v>631</v>
      </c>
      <c r="F276" s="1" t="str">
        <f>D276&amp;" "&amp;E276</f>
        <v>KHANT THURAIN MIN -</v>
      </c>
      <c r="G276" s="1" t="s">
        <v>1177</v>
      </c>
      <c r="H276" s="1" t="s">
        <v>631</v>
      </c>
      <c r="I276" s="1">
        <v>10668111</v>
      </c>
      <c r="J276" s="1" t="s">
        <v>45</v>
      </c>
      <c r="K276" s="2">
        <v>45667</v>
      </c>
      <c r="L276" s="1" t="s">
        <v>66</v>
      </c>
      <c r="M276" s="1" t="s">
        <v>48</v>
      </c>
      <c r="N276" s="1" t="s">
        <v>48</v>
      </c>
      <c r="O276" s="1" t="s">
        <v>936</v>
      </c>
      <c r="P276" s="1" t="s">
        <v>936</v>
      </c>
      <c r="Q276" s="1">
        <v>10405354</v>
      </c>
      <c r="R276" s="1" t="s">
        <v>1165</v>
      </c>
      <c r="S276" s="3" t="s">
        <v>922</v>
      </c>
      <c r="T276" s="1" t="s">
        <v>52</v>
      </c>
      <c r="U276" s="1" t="s">
        <v>53</v>
      </c>
      <c r="V276" s="1" t="s">
        <v>54</v>
      </c>
      <c r="W276" s="1" t="s">
        <v>632</v>
      </c>
      <c r="X276" s="1">
        <v>1</v>
      </c>
      <c r="Y276" s="10" t="s">
        <v>923</v>
      </c>
      <c r="Z276" s="10">
        <f>_xlfn.XLOOKUP(B276,skill_metrix!A:A,skill_metrix!C:C,0)</f>
        <v>0</v>
      </c>
      <c r="AA276" s="10"/>
      <c r="AB276" s="10" t="s">
        <v>1166</v>
      </c>
      <c r="AC276" s="32" t="s">
        <v>84</v>
      </c>
      <c r="AD276" s="10"/>
      <c r="AE276" s="10"/>
      <c r="AF276" s="10" t="s">
        <v>59</v>
      </c>
      <c r="AG276" s="28"/>
      <c r="AH276" s="28"/>
      <c r="AI276" s="24">
        <v>0.33333333333333331</v>
      </c>
      <c r="AJ276" s="24">
        <v>0.70833333333333337</v>
      </c>
    </row>
    <row r="277" spans="1:39" ht="14.25" customHeight="1">
      <c r="A277">
        <v>234</v>
      </c>
      <c r="B277" s="1">
        <v>10653661</v>
      </c>
      <c r="C277" s="1" t="s">
        <v>39</v>
      </c>
      <c r="D277" s="1" t="s">
        <v>368</v>
      </c>
      <c r="E277" s="1" t="s">
        <v>1178</v>
      </c>
      <c r="F277" s="1" t="str">
        <f>D277&amp;" "&amp;E277</f>
        <v>สุกัญญา ทัดอยู่</v>
      </c>
      <c r="G277" s="1" t="s">
        <v>370</v>
      </c>
      <c r="H277" s="1" t="s">
        <v>1179</v>
      </c>
      <c r="I277" s="1">
        <v>10653661</v>
      </c>
      <c r="J277" s="1" t="s">
        <v>45</v>
      </c>
      <c r="K277" s="2">
        <v>45664</v>
      </c>
      <c r="L277" s="1" t="s">
        <v>66</v>
      </c>
      <c r="M277" s="1" t="s">
        <v>48</v>
      </c>
      <c r="N277" s="1" t="s">
        <v>48</v>
      </c>
      <c r="O277" s="1" t="s">
        <v>89</v>
      </c>
      <c r="P277" s="1" t="s">
        <v>89</v>
      </c>
      <c r="Q277" s="1">
        <v>10405354</v>
      </c>
      <c r="R277" s="1" t="s">
        <v>1165</v>
      </c>
      <c r="S277" s="3" t="s">
        <v>922</v>
      </c>
      <c r="T277" s="1" t="s">
        <v>52</v>
      </c>
      <c r="U277" s="1" t="s">
        <v>53</v>
      </c>
      <c r="V277" s="1" t="s">
        <v>54</v>
      </c>
      <c r="W277" s="1" t="s">
        <v>55</v>
      </c>
      <c r="X277" s="1">
        <v>1</v>
      </c>
      <c r="Y277" s="10" t="s">
        <v>923</v>
      </c>
      <c r="Z277" s="10" t="str">
        <f>_xlfn.XLOOKUP(B277,skill_metrix!A:A,skill_metrix!C:C,0)</f>
        <v>หมูบด</v>
      </c>
      <c r="AA277" s="10"/>
      <c r="AB277" s="10" t="s">
        <v>1166</v>
      </c>
      <c r="AC277" s="32" t="s">
        <v>58</v>
      </c>
      <c r="AD277" s="10"/>
      <c r="AE277" s="10"/>
      <c r="AF277" s="10" t="s">
        <v>77</v>
      </c>
      <c r="AG277" s="28"/>
      <c r="AH277" s="28"/>
      <c r="AL277" s="24">
        <v>0.5</v>
      </c>
      <c r="AM277" s="24">
        <v>0.875</v>
      </c>
    </row>
    <row r="278" spans="1:39" ht="14.25" customHeight="1">
      <c r="A278">
        <v>287</v>
      </c>
      <c r="B278" s="1">
        <v>10661976</v>
      </c>
      <c r="C278" s="1" t="s">
        <v>39</v>
      </c>
      <c r="D278" s="1" t="s">
        <v>1180</v>
      </c>
      <c r="E278" s="1" t="s">
        <v>1181</v>
      </c>
      <c r="F278" s="1" t="str">
        <f>D278&amp;" "&amp;E278</f>
        <v>รพีพร แก้วเลิศ</v>
      </c>
      <c r="G278" s="1" t="s">
        <v>1182</v>
      </c>
      <c r="H278" s="1" t="s">
        <v>1183</v>
      </c>
      <c r="I278" s="1">
        <v>10661976</v>
      </c>
      <c r="J278" s="1" t="s">
        <v>45</v>
      </c>
      <c r="K278" s="1" t="s">
        <v>711</v>
      </c>
      <c r="L278" s="1" t="s">
        <v>66</v>
      </c>
      <c r="M278" s="1" t="s">
        <v>48</v>
      </c>
      <c r="N278" s="1" t="s">
        <v>48</v>
      </c>
      <c r="O278" s="1" t="s">
        <v>712</v>
      </c>
      <c r="P278" s="1" t="s">
        <v>712</v>
      </c>
      <c r="Q278" s="1">
        <v>10405354</v>
      </c>
      <c r="R278" s="1" t="s">
        <v>1165</v>
      </c>
      <c r="S278" s="3" t="s">
        <v>922</v>
      </c>
      <c r="T278" s="1" t="s">
        <v>52</v>
      </c>
      <c r="U278" s="1" t="s">
        <v>53</v>
      </c>
      <c r="V278" s="1" t="s">
        <v>54</v>
      </c>
      <c r="W278" s="1" t="s">
        <v>55</v>
      </c>
      <c r="X278" s="1">
        <v>1</v>
      </c>
      <c r="Y278" s="10" t="s">
        <v>923</v>
      </c>
      <c r="Z278" s="10" t="str">
        <f>_xlfn.XLOOKUP(B278,skill_metrix!A:A,skill_metrix!C:C,0)</f>
        <v>หมูบด</v>
      </c>
      <c r="AA278" s="10"/>
      <c r="AB278" s="10" t="s">
        <v>1166</v>
      </c>
      <c r="AC278" s="32" t="s">
        <v>138</v>
      </c>
      <c r="AD278" s="10"/>
      <c r="AE278" s="10"/>
      <c r="AF278" s="10" t="s">
        <v>77</v>
      </c>
      <c r="AG278" s="29"/>
      <c r="AH278" s="28"/>
      <c r="AL278" s="24">
        <v>0.5</v>
      </c>
      <c r="AM278" s="24">
        <v>0.875</v>
      </c>
    </row>
    <row r="279" spans="1:39" ht="14.25" customHeight="1">
      <c r="A279">
        <v>276</v>
      </c>
      <c r="B279" s="1">
        <v>10660438</v>
      </c>
      <c r="C279" s="1" t="s">
        <v>60</v>
      </c>
      <c r="D279" s="1" t="s">
        <v>1184</v>
      </c>
      <c r="E279" s="1" t="s">
        <v>1185</v>
      </c>
      <c r="F279" s="1" t="str">
        <f>D279&amp;" "&amp;E279</f>
        <v>จารุวรรณ แซ่เอง</v>
      </c>
      <c r="G279" s="1" t="s">
        <v>1186</v>
      </c>
      <c r="H279" s="1" t="s">
        <v>1187</v>
      </c>
      <c r="I279" s="1">
        <v>10660438</v>
      </c>
      <c r="J279" s="1" t="s">
        <v>45</v>
      </c>
      <c r="K279" s="1" t="s">
        <v>992</v>
      </c>
      <c r="L279" s="1" t="s">
        <v>66</v>
      </c>
      <c r="M279" s="1" t="s">
        <v>48</v>
      </c>
      <c r="N279" s="1" t="s">
        <v>48</v>
      </c>
      <c r="O279" s="1" t="s">
        <v>860</v>
      </c>
      <c r="P279" s="1" t="s">
        <v>860</v>
      </c>
      <c r="Q279" s="1">
        <v>10405354</v>
      </c>
      <c r="R279" s="1" t="s">
        <v>1165</v>
      </c>
      <c r="S279" s="3" t="s">
        <v>922</v>
      </c>
      <c r="T279" s="1" t="s">
        <v>52</v>
      </c>
      <c r="U279" s="1" t="s">
        <v>53</v>
      </c>
      <c r="V279" s="1" t="s">
        <v>54</v>
      </c>
      <c r="W279" s="1" t="s">
        <v>55</v>
      </c>
      <c r="X279" s="1">
        <v>1</v>
      </c>
      <c r="Y279" s="10" t="s">
        <v>923</v>
      </c>
      <c r="Z279" s="10">
        <f>_xlfn.XLOOKUP(B279,skill_metrix!A:A,skill_metrix!C:C,0)</f>
        <v>0</v>
      </c>
      <c r="AA279" s="10"/>
      <c r="AB279" s="10" t="s">
        <v>1166</v>
      </c>
      <c r="AC279" s="32" t="s">
        <v>76</v>
      </c>
      <c r="AD279" s="10"/>
      <c r="AE279" s="10"/>
      <c r="AF279" s="10" t="s">
        <v>77</v>
      </c>
      <c r="AG279" s="28"/>
      <c r="AH279" s="28"/>
      <c r="AL279" s="24">
        <v>0.5</v>
      </c>
      <c r="AM279" s="24">
        <v>0.875</v>
      </c>
    </row>
    <row r="280" spans="1:39" ht="14.25" customHeight="1">
      <c r="A280">
        <v>333</v>
      </c>
      <c r="B280" s="1">
        <v>10668269</v>
      </c>
      <c r="C280" s="1" t="s">
        <v>415</v>
      </c>
      <c r="D280" s="1" t="s">
        <v>1188</v>
      </c>
      <c r="E280" s="1" t="s">
        <v>631</v>
      </c>
      <c r="F280" s="1" t="str">
        <f>D280&amp;" "&amp;E280</f>
        <v>ZAW MIN OO -</v>
      </c>
      <c r="G280" s="1" t="s">
        <v>1188</v>
      </c>
      <c r="H280" s="1" t="s">
        <v>631</v>
      </c>
      <c r="I280" s="1">
        <v>10668269</v>
      </c>
      <c r="J280" s="1" t="s">
        <v>45</v>
      </c>
      <c r="K280" s="2">
        <v>45667</v>
      </c>
      <c r="L280" s="1" t="s">
        <v>66</v>
      </c>
      <c r="M280" s="1" t="s">
        <v>48</v>
      </c>
      <c r="N280" s="1" t="s">
        <v>48</v>
      </c>
      <c r="O280" s="1" t="s">
        <v>936</v>
      </c>
      <c r="P280" s="1" t="s">
        <v>936</v>
      </c>
      <c r="Q280" s="1">
        <v>10405354</v>
      </c>
      <c r="R280" s="1" t="s">
        <v>1165</v>
      </c>
      <c r="S280" s="3" t="s">
        <v>922</v>
      </c>
      <c r="T280" s="1" t="s">
        <v>52</v>
      </c>
      <c r="U280" s="1" t="s">
        <v>53</v>
      </c>
      <c r="V280" s="1" t="s">
        <v>54</v>
      </c>
      <c r="W280" s="1" t="s">
        <v>632</v>
      </c>
      <c r="X280" s="1">
        <v>1</v>
      </c>
      <c r="Y280" s="10" t="s">
        <v>923</v>
      </c>
      <c r="Z280" s="10" t="str">
        <f>_xlfn.XLOOKUP(B280,skill_metrix!A:A,skill_metrix!C:C,0)</f>
        <v>หมูบด</v>
      </c>
      <c r="AA280" s="10"/>
      <c r="AB280" s="10" t="s">
        <v>1166</v>
      </c>
      <c r="AC280" s="32" t="s">
        <v>212</v>
      </c>
      <c r="AD280" s="10"/>
      <c r="AE280" s="10"/>
      <c r="AF280" s="10" t="s">
        <v>77</v>
      </c>
      <c r="AG280" s="28"/>
      <c r="AH280" s="28"/>
      <c r="AL280" s="24">
        <v>0.5</v>
      </c>
      <c r="AM280" s="24">
        <v>0.875</v>
      </c>
    </row>
    <row r="281" spans="1:39" ht="14.25" customHeight="1">
      <c r="A281">
        <v>332</v>
      </c>
      <c r="B281" s="1">
        <v>10668259</v>
      </c>
      <c r="C281" s="1" t="s">
        <v>627</v>
      </c>
      <c r="D281" s="1" t="s">
        <v>1189</v>
      </c>
      <c r="E281" s="1" t="s">
        <v>631</v>
      </c>
      <c r="F281" s="1" t="str">
        <f>D281&amp;" "&amp;E281</f>
        <v>YI LIN -</v>
      </c>
      <c r="G281" s="1" t="s">
        <v>1189</v>
      </c>
      <c r="H281" s="1" t="s">
        <v>631</v>
      </c>
      <c r="I281" s="1">
        <v>10668259</v>
      </c>
      <c r="J281" s="1" t="s">
        <v>45</v>
      </c>
      <c r="K281" s="2">
        <v>45667</v>
      </c>
      <c r="L281" s="1" t="s">
        <v>66</v>
      </c>
      <c r="M281" s="1" t="s">
        <v>48</v>
      </c>
      <c r="N281" s="1" t="s">
        <v>48</v>
      </c>
      <c r="O281" s="1" t="s">
        <v>936</v>
      </c>
      <c r="P281" s="1" t="s">
        <v>936</v>
      </c>
      <c r="Q281" s="1">
        <v>10405354</v>
      </c>
      <c r="R281" s="1" t="s">
        <v>1165</v>
      </c>
      <c r="S281" s="3" t="s">
        <v>922</v>
      </c>
      <c r="T281" s="1" t="s">
        <v>52</v>
      </c>
      <c r="U281" s="1" t="s">
        <v>53</v>
      </c>
      <c r="V281" s="1" t="s">
        <v>54</v>
      </c>
      <c r="W281" s="1" t="s">
        <v>632</v>
      </c>
      <c r="X281" s="1">
        <v>1</v>
      </c>
      <c r="Y281" s="10" t="s">
        <v>923</v>
      </c>
      <c r="Z281" s="10" t="str">
        <f>_xlfn.XLOOKUP(B281,skill_metrix!A:A,skill_metrix!C:C,0)</f>
        <v>เผาขา+ต้มเลือด</v>
      </c>
      <c r="AA281" s="10"/>
      <c r="AB281" s="10" t="s">
        <v>1166</v>
      </c>
      <c r="AC281" s="32" t="s">
        <v>91</v>
      </c>
      <c r="AD281" s="10"/>
      <c r="AE281" s="10"/>
      <c r="AF281" s="10" t="s">
        <v>77</v>
      </c>
      <c r="AG281" s="28"/>
      <c r="AH281" s="28"/>
      <c r="AL281" s="24">
        <v>0.5</v>
      </c>
      <c r="AM281" s="24">
        <v>0.875</v>
      </c>
    </row>
    <row r="282" spans="1:39" ht="14.25" customHeight="1">
      <c r="A282">
        <v>324</v>
      </c>
      <c r="B282" s="1">
        <v>10668189</v>
      </c>
      <c r="C282" s="1" t="s">
        <v>627</v>
      </c>
      <c r="D282" s="1" t="s">
        <v>1190</v>
      </c>
      <c r="E282" s="1" t="s">
        <v>631</v>
      </c>
      <c r="F282" s="1" t="str">
        <f>D282&amp;" "&amp;E282</f>
        <v>NWE NI NAING -</v>
      </c>
      <c r="G282" s="1" t="s">
        <v>1190</v>
      </c>
      <c r="H282" s="1" t="s">
        <v>631</v>
      </c>
      <c r="I282" s="1">
        <v>10668189</v>
      </c>
      <c r="J282" s="1" t="s">
        <v>45</v>
      </c>
      <c r="K282" s="2">
        <v>45667</v>
      </c>
      <c r="L282" s="1" t="s">
        <v>66</v>
      </c>
      <c r="M282" s="1" t="s">
        <v>48</v>
      </c>
      <c r="N282" s="1" t="s">
        <v>48</v>
      </c>
      <c r="O282" s="1" t="s">
        <v>936</v>
      </c>
      <c r="P282" s="1" t="s">
        <v>936</v>
      </c>
      <c r="Q282" s="1">
        <v>10405354</v>
      </c>
      <c r="R282" s="1" t="s">
        <v>1165</v>
      </c>
      <c r="S282" s="3" t="s">
        <v>922</v>
      </c>
      <c r="T282" s="1" t="s">
        <v>52</v>
      </c>
      <c r="U282" s="1" t="s">
        <v>53</v>
      </c>
      <c r="V282" s="1" t="s">
        <v>54</v>
      </c>
      <c r="W282" s="1" t="s">
        <v>632</v>
      </c>
      <c r="X282" s="1">
        <v>1</v>
      </c>
      <c r="Y282" s="10" t="s">
        <v>923</v>
      </c>
      <c r="Z282" s="10" t="str">
        <f>_xlfn.XLOOKUP(B282,skill_metrix!A:A,skill_metrix!C:C,0)</f>
        <v>ไหล่(เบสิค)</v>
      </c>
      <c r="AA282" s="10"/>
      <c r="AB282" s="10" t="s">
        <v>1166</v>
      </c>
      <c r="AC282" s="32" t="s">
        <v>84</v>
      </c>
      <c r="AD282" s="10"/>
      <c r="AE282" s="10"/>
      <c r="AF282" s="10" t="s">
        <v>77</v>
      </c>
      <c r="AG282" s="28"/>
      <c r="AH282" s="28"/>
      <c r="AL282" s="24">
        <v>0.5</v>
      </c>
      <c r="AM282" s="24">
        <v>0.875</v>
      </c>
    </row>
    <row r="283" spans="1:39" ht="14.25" customHeight="1">
      <c r="A283">
        <v>372</v>
      </c>
      <c r="B283" s="1">
        <v>10685866</v>
      </c>
      <c r="C283" s="1" t="s">
        <v>415</v>
      </c>
      <c r="D283" s="1" t="s">
        <v>1191</v>
      </c>
      <c r="E283" s="1" t="s">
        <v>631</v>
      </c>
      <c r="F283" s="1" t="str">
        <f>D283&amp;" "&amp;E283</f>
        <v>KHANT ZAR NI TUN -</v>
      </c>
      <c r="G283" s="1" t="s">
        <v>1191</v>
      </c>
      <c r="H283" s="1" t="s">
        <v>631</v>
      </c>
      <c r="I283" s="1">
        <v>10685866</v>
      </c>
      <c r="J283" s="1" t="s">
        <v>45</v>
      </c>
      <c r="K283" s="2">
        <v>46145</v>
      </c>
      <c r="L283" s="1" t="s">
        <v>66</v>
      </c>
      <c r="M283" s="1" t="s">
        <v>48</v>
      </c>
      <c r="N283" s="1" t="s">
        <v>98</v>
      </c>
      <c r="O283" s="2">
        <v>46060</v>
      </c>
      <c r="P283" s="1" t="s">
        <v>100</v>
      </c>
      <c r="Q283" s="1">
        <v>10405354</v>
      </c>
      <c r="R283" s="1" t="s">
        <v>1165</v>
      </c>
      <c r="S283" s="3" t="s">
        <v>922</v>
      </c>
      <c r="T283" s="1" t="s">
        <v>52</v>
      </c>
      <c r="U283" s="1" t="s">
        <v>53</v>
      </c>
      <c r="V283" s="1" t="s">
        <v>54</v>
      </c>
      <c r="W283" s="1" t="s">
        <v>632</v>
      </c>
      <c r="X283" s="1">
        <v>1</v>
      </c>
      <c r="Y283" s="10" t="s">
        <v>923</v>
      </c>
      <c r="Z283" s="10" t="str">
        <f>_xlfn.XLOOKUP(B283,skill_metrix!A:A,skill_metrix!C:C,0)</f>
        <v>เลาะขา</v>
      </c>
      <c r="AA283" s="10"/>
      <c r="AB283" s="10" t="s">
        <v>1166</v>
      </c>
      <c r="AC283" s="32" t="s">
        <v>69</v>
      </c>
      <c r="AD283" s="10"/>
      <c r="AE283" s="10"/>
      <c r="AF283" s="10" t="s">
        <v>77</v>
      </c>
      <c r="AG283" s="28"/>
      <c r="AH283" s="28"/>
      <c r="AL283" s="24">
        <v>0.5</v>
      </c>
      <c r="AM283" s="24">
        <v>0.875</v>
      </c>
    </row>
    <row r="284" spans="1:39" ht="14.25" customHeight="1">
      <c r="A284">
        <v>274</v>
      </c>
      <c r="B284" s="1">
        <v>10660111</v>
      </c>
      <c r="C284" s="1" t="s">
        <v>39</v>
      </c>
      <c r="D284" s="1" t="s">
        <v>1192</v>
      </c>
      <c r="E284" s="1" t="s">
        <v>1132</v>
      </c>
      <c r="F284" s="1" t="str">
        <f>D284&amp;" "&amp;E284</f>
        <v>น้ำผึ้ง บุญมา</v>
      </c>
      <c r="G284" s="1" t="s">
        <v>1193</v>
      </c>
      <c r="H284" s="1" t="s">
        <v>1194</v>
      </c>
      <c r="I284" s="1">
        <v>10660111</v>
      </c>
      <c r="J284" s="1" t="s">
        <v>45</v>
      </c>
      <c r="K284" s="1" t="s">
        <v>932</v>
      </c>
      <c r="L284" s="1" t="s">
        <v>66</v>
      </c>
      <c r="M284" s="1" t="s">
        <v>48</v>
      </c>
      <c r="N284" s="1" t="s">
        <v>48</v>
      </c>
      <c r="O284" s="1" t="s">
        <v>933</v>
      </c>
      <c r="P284" s="1" t="s">
        <v>933</v>
      </c>
      <c r="Q284" s="1">
        <v>10358591</v>
      </c>
      <c r="R284" s="1" t="s">
        <v>921</v>
      </c>
      <c r="S284" s="3" t="s">
        <v>922</v>
      </c>
      <c r="T284" s="1" t="s">
        <v>52</v>
      </c>
      <c r="U284" s="1" t="s">
        <v>53</v>
      </c>
      <c r="V284" s="1" t="s">
        <v>54</v>
      </c>
      <c r="W284" s="1" t="s">
        <v>55</v>
      </c>
      <c r="X284" s="1">
        <v>1</v>
      </c>
      <c r="Y284" s="10" t="s">
        <v>923</v>
      </c>
      <c r="Z284" s="10" t="str">
        <f>_xlfn.XLOOKUP(B284,skill_metrix!A:A,skill_metrix!C:C,0)</f>
        <v>สะโพก(พิเศษ)</v>
      </c>
      <c r="AA284" s="10"/>
      <c r="AB284" s="10" t="s">
        <v>1195</v>
      </c>
      <c r="AC284" s="32" t="s">
        <v>58</v>
      </c>
      <c r="AD284" s="10"/>
      <c r="AE284" s="10"/>
      <c r="AF284" s="10" t="s">
        <v>59</v>
      </c>
      <c r="AG284" s="10"/>
      <c r="AH284" s="10"/>
      <c r="AI284" s="24">
        <v>0.33333333333333331</v>
      </c>
      <c r="AJ284" s="24">
        <v>0.70833333333333337</v>
      </c>
    </row>
    <row r="285" spans="1:39" ht="14.25" customHeight="1">
      <c r="A285">
        <v>268</v>
      </c>
      <c r="B285" s="1">
        <v>10659476</v>
      </c>
      <c r="C285" s="1" t="s">
        <v>39</v>
      </c>
      <c r="D285" s="1" t="s">
        <v>1196</v>
      </c>
      <c r="E285" s="1" t="s">
        <v>1197</v>
      </c>
      <c r="F285" s="1" t="str">
        <f>D285&amp;" "&amp;E285</f>
        <v>มะลิวัลย์ เลียบคม</v>
      </c>
      <c r="G285" s="1" t="s">
        <v>1198</v>
      </c>
      <c r="H285" s="1" t="s">
        <v>1199</v>
      </c>
      <c r="I285" s="1">
        <v>10659476</v>
      </c>
      <c r="J285" s="1" t="s">
        <v>45</v>
      </c>
      <c r="K285" s="2">
        <v>45877</v>
      </c>
      <c r="L285" s="1" t="s">
        <v>66</v>
      </c>
      <c r="M285" s="1" t="s">
        <v>48</v>
      </c>
      <c r="N285" s="1" t="s">
        <v>48</v>
      </c>
      <c r="O285" s="2">
        <v>45789</v>
      </c>
      <c r="P285" s="2">
        <v>45789</v>
      </c>
      <c r="Q285" s="1">
        <v>10358591</v>
      </c>
      <c r="R285" s="1" t="s">
        <v>921</v>
      </c>
      <c r="S285" s="3" t="s">
        <v>922</v>
      </c>
      <c r="T285" s="1" t="s">
        <v>52</v>
      </c>
      <c r="U285" s="1" t="s">
        <v>53</v>
      </c>
      <c r="V285" s="1" t="s">
        <v>54</v>
      </c>
      <c r="W285" s="1" t="s">
        <v>55</v>
      </c>
      <c r="X285" s="1">
        <v>1</v>
      </c>
      <c r="Y285" s="10" t="s">
        <v>923</v>
      </c>
      <c r="Z285" s="10" t="str">
        <f>_xlfn.XLOOKUP(B285,skill_metrix!A:A,skill_metrix!C:C,0)</f>
        <v>ไหล่(พิเศษ)</v>
      </c>
      <c r="AA285" s="10"/>
      <c r="AB285" s="10" t="s">
        <v>1200</v>
      </c>
      <c r="AC285" s="32" t="s">
        <v>138</v>
      </c>
      <c r="AD285" s="10"/>
      <c r="AE285" s="10" t="s">
        <v>1201</v>
      </c>
      <c r="AF285" s="10" t="s">
        <v>59</v>
      </c>
      <c r="AG285" s="10" t="s">
        <v>1202</v>
      </c>
      <c r="AH285" s="10"/>
      <c r="AI285" s="24">
        <v>0.33333333333333331</v>
      </c>
      <c r="AJ285" s="24">
        <v>0.70833333333333337</v>
      </c>
      <c r="AK285" s="24">
        <v>4.1666666666666664E-2</v>
      </c>
    </row>
    <row r="286" spans="1:39" ht="14.25" customHeight="1">
      <c r="A286">
        <v>433</v>
      </c>
      <c r="B286">
        <v>10695550</v>
      </c>
      <c r="D286" t="s">
        <v>1203</v>
      </c>
      <c r="E286" t="s">
        <v>1070</v>
      </c>
      <c r="F286" s="1" t="str">
        <f>D286&amp;" "&amp;E286</f>
        <v>ภาวิต เรืองชาติ</v>
      </c>
      <c r="S286" s="10" t="s">
        <v>922</v>
      </c>
      <c r="AA286" s="10"/>
      <c r="AB286" t="s">
        <v>1200</v>
      </c>
      <c r="AC286" s="33" t="s">
        <v>84</v>
      </c>
      <c r="AE286" s="10" t="s">
        <v>1201</v>
      </c>
      <c r="AF286" s="10" t="s">
        <v>59</v>
      </c>
      <c r="AG286" s="10" t="s">
        <v>1202</v>
      </c>
      <c r="AI286" s="24">
        <v>0.33333333333333331</v>
      </c>
      <c r="AJ286" s="24">
        <v>0.70833333333333337</v>
      </c>
      <c r="AK286" s="24">
        <v>4.1666666666666664E-2</v>
      </c>
    </row>
    <row r="287" spans="1:39" ht="14.25" customHeight="1">
      <c r="A287">
        <v>95</v>
      </c>
      <c r="B287" s="1">
        <v>10506475</v>
      </c>
      <c r="C287" s="1" t="s">
        <v>92</v>
      </c>
      <c r="D287" s="1" t="s">
        <v>1204</v>
      </c>
      <c r="E287" s="1" t="s">
        <v>1205</v>
      </c>
      <c r="F287" s="1" t="str">
        <f>D287&amp;" "&amp;E287</f>
        <v>ปิยะพงษ์ ใบทอง</v>
      </c>
      <c r="G287" s="1" t="s">
        <v>1206</v>
      </c>
      <c r="H287" s="1" t="s">
        <v>1207</v>
      </c>
      <c r="I287" s="1">
        <v>10506475</v>
      </c>
      <c r="J287" s="1" t="s">
        <v>45</v>
      </c>
      <c r="K287" s="1" t="s">
        <v>1208</v>
      </c>
      <c r="L287" s="1" t="s">
        <v>66</v>
      </c>
      <c r="M287" s="1" t="s">
        <v>48</v>
      </c>
      <c r="N287" s="1" t="s">
        <v>48</v>
      </c>
      <c r="O287" s="1" t="s">
        <v>1209</v>
      </c>
      <c r="P287" s="1" t="s">
        <v>1209</v>
      </c>
      <c r="Q287" s="1">
        <v>10358628</v>
      </c>
      <c r="R287" s="1" t="s">
        <v>981</v>
      </c>
      <c r="S287" s="3" t="s">
        <v>922</v>
      </c>
      <c r="T287" s="1" t="s">
        <v>52</v>
      </c>
      <c r="U287" s="1" t="s">
        <v>53</v>
      </c>
      <c r="V287" s="1" t="s">
        <v>54</v>
      </c>
      <c r="W287" s="1" t="s">
        <v>55</v>
      </c>
      <c r="X287" s="1">
        <v>1</v>
      </c>
      <c r="Y287" s="10" t="s">
        <v>923</v>
      </c>
      <c r="Z287" s="10" t="str">
        <f>_xlfn.XLOOKUP(B287,skill_metrix!A:A,skill_metrix!C:C,0)</f>
        <v>ไหล่(พิเศษ)</v>
      </c>
      <c r="AA287" s="10"/>
      <c r="AB287" s="10" t="s">
        <v>1200</v>
      </c>
      <c r="AC287" s="32" t="s">
        <v>76</v>
      </c>
      <c r="AD287" s="10" t="s">
        <v>1210</v>
      </c>
      <c r="AE287" s="10" t="s">
        <v>1201</v>
      </c>
      <c r="AF287" s="10" t="s">
        <v>59</v>
      </c>
      <c r="AG287" s="10" t="s">
        <v>1202</v>
      </c>
      <c r="AH287" s="10"/>
      <c r="AI287" s="24">
        <v>0.33333333333333331</v>
      </c>
      <c r="AJ287" s="24">
        <v>0.70833333333333337</v>
      </c>
      <c r="AK287" s="24">
        <v>4.1666666666666664E-2</v>
      </c>
    </row>
    <row r="288" spans="1:39" ht="14.25" customHeight="1">
      <c r="A288">
        <v>267</v>
      </c>
      <c r="B288" s="1">
        <v>10659446</v>
      </c>
      <c r="C288" s="1" t="s">
        <v>39</v>
      </c>
      <c r="D288" s="1" t="s">
        <v>1211</v>
      </c>
      <c r="E288" s="1" t="s">
        <v>1197</v>
      </c>
      <c r="F288" s="1" t="str">
        <f>D288&amp;" "&amp;E288</f>
        <v>นันทิยา เลียบคม</v>
      </c>
      <c r="G288" s="1" t="s">
        <v>1212</v>
      </c>
      <c r="H288" s="1" t="s">
        <v>1213</v>
      </c>
      <c r="I288" s="1">
        <v>10659446</v>
      </c>
      <c r="J288" s="1" t="s">
        <v>45</v>
      </c>
      <c r="K288" s="2">
        <v>45877</v>
      </c>
      <c r="L288" s="1" t="s">
        <v>66</v>
      </c>
      <c r="M288" s="1" t="s">
        <v>48</v>
      </c>
      <c r="N288" s="1" t="s">
        <v>48</v>
      </c>
      <c r="O288" s="2">
        <v>45789</v>
      </c>
      <c r="P288" s="2">
        <v>45789</v>
      </c>
      <c r="Q288" s="1">
        <v>10358591</v>
      </c>
      <c r="R288" s="1" t="s">
        <v>921</v>
      </c>
      <c r="S288" s="3" t="s">
        <v>922</v>
      </c>
      <c r="T288" s="1" t="s">
        <v>52</v>
      </c>
      <c r="U288" s="1" t="s">
        <v>53</v>
      </c>
      <c r="V288" s="1" t="s">
        <v>54</v>
      </c>
      <c r="W288" s="1" t="s">
        <v>55</v>
      </c>
      <c r="X288" s="1">
        <v>1</v>
      </c>
      <c r="Y288" s="10" t="s">
        <v>923</v>
      </c>
      <c r="Z288" s="10" t="str">
        <f>_xlfn.XLOOKUP(B288,skill_metrix!A:A,skill_metrix!C:C,0)</f>
        <v>ไหล่(พิเศษ)</v>
      </c>
      <c r="AA288" s="10"/>
      <c r="AB288" s="10" t="s">
        <v>1200</v>
      </c>
      <c r="AC288" s="32" t="s">
        <v>69</v>
      </c>
      <c r="AD288" s="10"/>
      <c r="AE288" s="10" t="s">
        <v>1201</v>
      </c>
      <c r="AF288" s="10" t="s">
        <v>59</v>
      </c>
      <c r="AG288" s="10" t="s">
        <v>1202</v>
      </c>
      <c r="AH288" s="10"/>
      <c r="AI288" s="24">
        <v>0.33333333333333331</v>
      </c>
      <c r="AJ288" s="24">
        <v>0.70833333333333337</v>
      </c>
      <c r="AK288" s="24">
        <v>4.1666666666666664E-2</v>
      </c>
    </row>
    <row r="289" spans="1:40" ht="14.25" customHeight="1">
      <c r="A289">
        <v>340</v>
      </c>
      <c r="B289" s="1">
        <v>10675804</v>
      </c>
      <c r="C289" s="1" t="s">
        <v>39</v>
      </c>
      <c r="D289" s="1" t="s">
        <v>1214</v>
      </c>
      <c r="E289" s="1" t="s">
        <v>1215</v>
      </c>
      <c r="F289" s="1" t="str">
        <f>D289&amp;" "&amp;E289</f>
        <v>ดาราวรรณ แขกช้อย</v>
      </c>
      <c r="G289" s="1" t="s">
        <v>1216</v>
      </c>
      <c r="H289" s="1" t="s">
        <v>1217</v>
      </c>
      <c r="I289" s="1">
        <v>10675804</v>
      </c>
      <c r="J289" s="1" t="s">
        <v>45</v>
      </c>
      <c r="K289" s="1" t="s">
        <v>860</v>
      </c>
      <c r="L289" s="1" t="s">
        <v>66</v>
      </c>
      <c r="M289" s="1" t="s">
        <v>48</v>
      </c>
      <c r="N289" s="1" t="s">
        <v>48</v>
      </c>
      <c r="O289" s="1" t="s">
        <v>861</v>
      </c>
      <c r="P289" s="1" t="s">
        <v>861</v>
      </c>
      <c r="Q289" s="1">
        <v>10358628</v>
      </c>
      <c r="R289" s="1" t="s">
        <v>981</v>
      </c>
      <c r="S289" s="3" t="s">
        <v>922</v>
      </c>
      <c r="T289" s="1" t="s">
        <v>52</v>
      </c>
      <c r="U289" s="1" t="s">
        <v>53</v>
      </c>
      <c r="V289" s="1" t="s">
        <v>54</v>
      </c>
      <c r="W289" s="1" t="s">
        <v>55</v>
      </c>
      <c r="X289" s="1">
        <v>1</v>
      </c>
      <c r="Y289" s="10" t="s">
        <v>923</v>
      </c>
      <c r="Z289" s="10" t="str">
        <f>_xlfn.XLOOKUP(B289,skill_metrix!A:A,skill_metrix!C:C,0)</f>
        <v>ไหล่(พิเศษ)</v>
      </c>
      <c r="AA289" s="10"/>
      <c r="AB289" s="10" t="s">
        <v>1200</v>
      </c>
      <c r="AC289" s="32" t="s">
        <v>138</v>
      </c>
      <c r="AD289" s="10"/>
      <c r="AE289" s="10" t="s">
        <v>1201</v>
      </c>
      <c r="AF289" s="10" t="s">
        <v>59</v>
      </c>
      <c r="AG289" s="10" t="s">
        <v>1202</v>
      </c>
      <c r="AH289" s="10"/>
      <c r="AI289" s="24">
        <v>0.33333333333333331</v>
      </c>
      <c r="AJ289" s="24">
        <v>0.70833333333333337</v>
      </c>
      <c r="AK289" s="24">
        <v>4.1666666666666664E-2</v>
      </c>
    </row>
    <row r="290" spans="1:40" ht="14.25" customHeight="1">
      <c r="A290">
        <v>432</v>
      </c>
      <c r="B290">
        <v>10695445</v>
      </c>
      <c r="D290" t="s">
        <v>1218</v>
      </c>
      <c r="E290" t="s">
        <v>1219</v>
      </c>
      <c r="F290" s="1" t="str">
        <f>D290&amp;" "&amp;E290</f>
        <v>จรัสพร สุภา</v>
      </c>
      <c r="S290" s="10" t="s">
        <v>922</v>
      </c>
      <c r="AA290" s="10"/>
      <c r="AB290" t="s">
        <v>1200</v>
      </c>
      <c r="AC290" s="33" t="s">
        <v>91</v>
      </c>
      <c r="AE290" s="10" t="s">
        <v>1201</v>
      </c>
      <c r="AF290" s="10" t="s">
        <v>59</v>
      </c>
      <c r="AG290" s="10" t="s">
        <v>1202</v>
      </c>
      <c r="AI290" s="24">
        <v>0.33333333333333331</v>
      </c>
      <c r="AJ290" s="24">
        <v>0.70833333333333337</v>
      </c>
      <c r="AK290" s="24">
        <v>4.1666666666666664E-2</v>
      </c>
    </row>
    <row r="291" spans="1:40" ht="14.25" customHeight="1">
      <c r="A291">
        <v>313</v>
      </c>
      <c r="B291" s="1">
        <v>10666866</v>
      </c>
      <c r="C291" s="1" t="s">
        <v>415</v>
      </c>
      <c r="D291" s="1" t="s">
        <v>1220</v>
      </c>
      <c r="E291" s="1" t="s">
        <v>631</v>
      </c>
      <c r="F291" s="1" t="str">
        <f>D291&amp;" "&amp;E291</f>
        <v>ZIN MIN THU -</v>
      </c>
      <c r="G291" s="1" t="s">
        <v>1220</v>
      </c>
      <c r="H291" s="1" t="s">
        <v>631</v>
      </c>
      <c r="I291" s="1">
        <v>10666866</v>
      </c>
      <c r="J291" s="1" t="s">
        <v>45</v>
      </c>
      <c r="K291" s="1" t="s">
        <v>877</v>
      </c>
      <c r="L291" s="1" t="s">
        <v>66</v>
      </c>
      <c r="M291" s="1" t="s">
        <v>48</v>
      </c>
      <c r="N291" s="1" t="s">
        <v>48</v>
      </c>
      <c r="O291" s="1" t="s">
        <v>878</v>
      </c>
      <c r="P291" s="1" t="s">
        <v>878</v>
      </c>
      <c r="Q291" s="1">
        <v>10358628</v>
      </c>
      <c r="R291" s="1" t="s">
        <v>981</v>
      </c>
      <c r="S291" s="3" t="s">
        <v>922</v>
      </c>
      <c r="T291" s="1" t="s">
        <v>52</v>
      </c>
      <c r="U291" s="1" t="s">
        <v>53</v>
      </c>
      <c r="V291" s="1" t="s">
        <v>54</v>
      </c>
      <c r="W291" s="1" t="s">
        <v>632</v>
      </c>
      <c r="X291" s="1">
        <v>1</v>
      </c>
      <c r="Y291" s="10" t="s">
        <v>923</v>
      </c>
      <c r="Z291" s="10" t="str">
        <f>_xlfn.XLOOKUP(B291,skill_metrix!A:A,skill_metrix!C:C,0)</f>
        <v>ไหล่(พิเศษ)</v>
      </c>
      <c r="AA291" s="10"/>
      <c r="AB291" s="10" t="s">
        <v>1200</v>
      </c>
      <c r="AC291" s="32" t="s">
        <v>76</v>
      </c>
      <c r="AD291" s="10" t="s">
        <v>1221</v>
      </c>
      <c r="AE291" s="10" t="s">
        <v>1201</v>
      </c>
      <c r="AF291" s="10" t="s">
        <v>59</v>
      </c>
      <c r="AG291" s="10" t="s">
        <v>1202</v>
      </c>
      <c r="AH291" s="10"/>
      <c r="AI291" s="24">
        <v>0.33333333333333331</v>
      </c>
      <c r="AJ291" s="24">
        <v>0.70833333333333337</v>
      </c>
      <c r="AK291" s="24">
        <v>4.1666666666666664E-2</v>
      </c>
    </row>
    <row r="292" spans="1:40" ht="14.25" customHeight="1">
      <c r="A292">
        <v>306</v>
      </c>
      <c r="B292" s="1">
        <v>10666801</v>
      </c>
      <c r="C292" s="1" t="s">
        <v>627</v>
      </c>
      <c r="D292" s="1" t="s">
        <v>1222</v>
      </c>
      <c r="E292" s="1" t="s">
        <v>631</v>
      </c>
      <c r="F292" s="1" t="str">
        <f>D292&amp;" "&amp;E292</f>
        <v>THET ZIN AYE -</v>
      </c>
      <c r="G292" s="1" t="s">
        <v>1222</v>
      </c>
      <c r="H292" s="1" t="s">
        <v>631</v>
      </c>
      <c r="I292" s="1">
        <v>10666801</v>
      </c>
      <c r="J292" s="1" t="s">
        <v>45</v>
      </c>
      <c r="K292" s="1" t="s">
        <v>877</v>
      </c>
      <c r="L292" s="1" t="s">
        <v>66</v>
      </c>
      <c r="M292" s="1" t="s">
        <v>48</v>
      </c>
      <c r="N292" s="1" t="s">
        <v>48</v>
      </c>
      <c r="O292" s="1" t="s">
        <v>878</v>
      </c>
      <c r="P292" s="1" t="s">
        <v>878</v>
      </c>
      <c r="Q292" s="1">
        <v>10358591</v>
      </c>
      <c r="R292" s="1" t="s">
        <v>921</v>
      </c>
      <c r="S292" s="3" t="s">
        <v>922</v>
      </c>
      <c r="T292" s="1" t="s">
        <v>52</v>
      </c>
      <c r="U292" s="1" t="s">
        <v>53</v>
      </c>
      <c r="V292" s="1" t="s">
        <v>54</v>
      </c>
      <c r="W292" s="1" t="s">
        <v>632</v>
      </c>
      <c r="X292" s="1">
        <v>1</v>
      </c>
      <c r="Y292" s="10" t="s">
        <v>923</v>
      </c>
      <c r="Z292" s="10" t="str">
        <f>_xlfn.XLOOKUP(B292,skill_metrix!A:A,skill_metrix!C:C,0)</f>
        <v>ไหล่(พิเศษ)</v>
      </c>
      <c r="AA292" s="10"/>
      <c r="AB292" s="10" t="s">
        <v>1200</v>
      </c>
      <c r="AC292" s="32" t="s">
        <v>76</v>
      </c>
      <c r="AD292" s="10"/>
      <c r="AE292" s="10" t="s">
        <v>1201</v>
      </c>
      <c r="AF292" s="10" t="s">
        <v>59</v>
      </c>
      <c r="AG292" s="10" t="s">
        <v>1202</v>
      </c>
      <c r="AH292" s="10"/>
      <c r="AI292" s="24">
        <v>0.33333333333333331</v>
      </c>
      <c r="AJ292" s="24">
        <v>0.70833333333333337</v>
      </c>
      <c r="AK292" s="24">
        <v>4.1666666666666664E-2</v>
      </c>
    </row>
    <row r="293" spans="1:40" ht="14.25" customHeight="1">
      <c r="A293">
        <v>303</v>
      </c>
      <c r="B293" s="1">
        <v>10666772</v>
      </c>
      <c r="C293" s="1" t="s">
        <v>627</v>
      </c>
      <c r="D293" s="1" t="s">
        <v>1223</v>
      </c>
      <c r="E293" s="1" t="s">
        <v>631</v>
      </c>
      <c r="F293" s="1" t="str">
        <f>D293&amp;" "&amp;E293</f>
        <v>ANZALI MOE -</v>
      </c>
      <c r="G293" s="1" t="s">
        <v>1223</v>
      </c>
      <c r="H293" s="1" t="s">
        <v>631</v>
      </c>
      <c r="I293" s="1">
        <v>10666772</v>
      </c>
      <c r="J293" s="1" t="s">
        <v>45</v>
      </c>
      <c r="K293" s="1" t="s">
        <v>877</v>
      </c>
      <c r="L293" s="1" t="s">
        <v>66</v>
      </c>
      <c r="M293" s="1" t="s">
        <v>48</v>
      </c>
      <c r="N293" s="1" t="s">
        <v>48</v>
      </c>
      <c r="O293" s="1" t="s">
        <v>878</v>
      </c>
      <c r="P293" s="1" t="s">
        <v>878</v>
      </c>
      <c r="Q293" s="1">
        <v>10358591</v>
      </c>
      <c r="R293" s="1" t="s">
        <v>921</v>
      </c>
      <c r="S293" s="3" t="s">
        <v>922</v>
      </c>
      <c r="T293" s="1" t="s">
        <v>52</v>
      </c>
      <c r="U293" s="1" t="s">
        <v>53</v>
      </c>
      <c r="V293" s="1" t="s">
        <v>54</v>
      </c>
      <c r="W293" s="1" t="s">
        <v>632</v>
      </c>
      <c r="X293" s="1">
        <v>1</v>
      </c>
      <c r="Y293" s="10" t="s">
        <v>923</v>
      </c>
      <c r="Z293" s="10" t="str">
        <f>_xlfn.XLOOKUP(B293,skill_metrix!A:A,skill_metrix!C:C,0)</f>
        <v>ไหล่(พิเศษ)</v>
      </c>
      <c r="AA293" s="10"/>
      <c r="AB293" s="10" t="s">
        <v>1200</v>
      </c>
      <c r="AC293" s="32" t="s">
        <v>138</v>
      </c>
      <c r="AD293" s="10"/>
      <c r="AE293" s="10" t="s">
        <v>1201</v>
      </c>
      <c r="AF293" s="10" t="s">
        <v>59</v>
      </c>
      <c r="AG293" s="10" t="s">
        <v>1202</v>
      </c>
      <c r="AH293" s="10"/>
      <c r="AI293" s="24">
        <v>0.33333333333333331</v>
      </c>
      <c r="AJ293" s="24">
        <v>0.70833333333333337</v>
      </c>
      <c r="AK293" s="24">
        <v>4.1666666666666664E-2</v>
      </c>
    </row>
    <row r="294" spans="1:40" ht="14.25" customHeight="1">
      <c r="A294">
        <v>296</v>
      </c>
      <c r="B294" s="1">
        <v>10665133</v>
      </c>
      <c r="C294" s="1" t="s">
        <v>39</v>
      </c>
      <c r="D294" s="1" t="s">
        <v>1224</v>
      </c>
      <c r="E294" s="1" t="s">
        <v>1225</v>
      </c>
      <c r="F294" s="1" t="str">
        <f>D294&amp;" "&amp;E294</f>
        <v>ราตรี จันดา</v>
      </c>
      <c r="G294" s="1" t="s">
        <v>1226</v>
      </c>
      <c r="H294" s="1" t="s">
        <v>1227</v>
      </c>
      <c r="I294" s="1">
        <v>10665133</v>
      </c>
      <c r="J294" s="1" t="s">
        <v>45</v>
      </c>
      <c r="K294" s="1" t="s">
        <v>1228</v>
      </c>
      <c r="L294" s="1" t="s">
        <v>66</v>
      </c>
      <c r="M294" s="1" t="s">
        <v>48</v>
      </c>
      <c r="N294" s="1" t="s">
        <v>48</v>
      </c>
      <c r="O294" s="1" t="s">
        <v>1229</v>
      </c>
      <c r="P294" s="1" t="s">
        <v>1229</v>
      </c>
      <c r="Q294" s="1">
        <v>10358591</v>
      </c>
      <c r="R294" s="1" t="s">
        <v>921</v>
      </c>
      <c r="S294" s="3" t="s">
        <v>922</v>
      </c>
      <c r="T294" s="1" t="s">
        <v>52</v>
      </c>
      <c r="U294" s="1" t="s">
        <v>53</v>
      </c>
      <c r="V294" s="1" t="s">
        <v>54</v>
      </c>
      <c r="W294" s="1" t="s">
        <v>55</v>
      </c>
      <c r="X294" s="1">
        <v>1</v>
      </c>
      <c r="Y294" s="10" t="s">
        <v>923</v>
      </c>
      <c r="Z294" s="10" t="str">
        <f>_xlfn.XLOOKUP(B294,skill_metrix!A:A,skill_metrix!C:C,0)</f>
        <v>ไหล่(พิเศษ)</v>
      </c>
      <c r="AA294" s="10"/>
      <c r="AB294" s="10" t="s">
        <v>1200</v>
      </c>
      <c r="AC294" s="32" t="s">
        <v>84</v>
      </c>
      <c r="AD294" s="10"/>
      <c r="AE294" s="10" t="s">
        <v>1201</v>
      </c>
      <c r="AF294" s="10" t="s">
        <v>77</v>
      </c>
      <c r="AG294" s="10" t="s">
        <v>1202</v>
      </c>
      <c r="AH294" s="10"/>
      <c r="AL294" s="24">
        <v>0.58333333333333337</v>
      </c>
      <c r="AM294" s="24">
        <v>0.95833333333333337</v>
      </c>
      <c r="AN294" s="24">
        <v>8.3333333333333329E-2</v>
      </c>
    </row>
    <row r="295" spans="1:40" ht="14.25" customHeight="1">
      <c r="A295">
        <v>434</v>
      </c>
      <c r="B295">
        <v>10695574</v>
      </c>
      <c r="D295" t="s">
        <v>1230</v>
      </c>
      <c r="E295" t="s">
        <v>1029</v>
      </c>
      <c r="F295" s="1" t="str">
        <f>D295&amp;" "&amp;E295</f>
        <v>ธิดารัตน์ พรหมมา</v>
      </c>
      <c r="S295" s="10" t="s">
        <v>922</v>
      </c>
      <c r="AA295" s="10"/>
      <c r="AB295" t="s">
        <v>1200</v>
      </c>
      <c r="AC295" s="33" t="s">
        <v>212</v>
      </c>
      <c r="AE295" s="10" t="s">
        <v>1201</v>
      </c>
      <c r="AF295" s="10" t="s">
        <v>77</v>
      </c>
      <c r="AG295" s="10" t="s">
        <v>1202</v>
      </c>
      <c r="AL295" s="24">
        <v>0.58333333333333337</v>
      </c>
      <c r="AM295" s="24">
        <v>0.95833333333333337</v>
      </c>
      <c r="AN295" s="24">
        <v>8.3333333333333329E-2</v>
      </c>
    </row>
    <row r="296" spans="1:40" ht="14.25" customHeight="1">
      <c r="A296">
        <v>337</v>
      </c>
      <c r="B296" s="1">
        <v>10673471</v>
      </c>
      <c r="C296" s="1" t="s">
        <v>39</v>
      </c>
      <c r="D296" s="1" t="s">
        <v>1231</v>
      </c>
      <c r="E296" s="1" t="s">
        <v>1232</v>
      </c>
      <c r="F296" s="1" t="str">
        <f>D296&amp;" "&amp;E296</f>
        <v>ดวงหทัย กัญจะนา</v>
      </c>
      <c r="G296" s="1" t="s">
        <v>1233</v>
      </c>
      <c r="H296" s="1" t="s">
        <v>1234</v>
      </c>
      <c r="I296" s="1">
        <v>10673471</v>
      </c>
      <c r="J296" s="1" t="s">
        <v>45</v>
      </c>
      <c r="K296" s="1" t="s">
        <v>1235</v>
      </c>
      <c r="L296" s="1" t="s">
        <v>66</v>
      </c>
      <c r="M296" s="1" t="s">
        <v>48</v>
      </c>
      <c r="N296" s="1" t="s">
        <v>48</v>
      </c>
      <c r="O296" s="1" t="s">
        <v>471</v>
      </c>
      <c r="P296" s="1" t="s">
        <v>471</v>
      </c>
      <c r="Q296" s="1">
        <v>10358591</v>
      </c>
      <c r="R296" s="1" t="s">
        <v>921</v>
      </c>
      <c r="S296" s="3" t="s">
        <v>922</v>
      </c>
      <c r="T296" s="1" t="s">
        <v>52</v>
      </c>
      <c r="U296" s="1" t="s">
        <v>53</v>
      </c>
      <c r="V296" s="1" t="s">
        <v>54</v>
      </c>
      <c r="W296" s="1" t="s">
        <v>55</v>
      </c>
      <c r="X296" s="1">
        <v>1</v>
      </c>
      <c r="Y296" s="10" t="s">
        <v>923</v>
      </c>
      <c r="Z296" s="10" t="str">
        <f>_xlfn.XLOOKUP(B296,skill_metrix!A:A,skill_metrix!C:C,0)</f>
        <v>ไหล่(พิเศษ)</v>
      </c>
      <c r="AA296" s="10"/>
      <c r="AB296" s="10" t="s">
        <v>1200</v>
      </c>
      <c r="AC296" s="32" t="s">
        <v>91</v>
      </c>
      <c r="AD296" s="10"/>
      <c r="AE296" s="10" t="s">
        <v>1201</v>
      </c>
      <c r="AF296" s="10" t="s">
        <v>77</v>
      </c>
      <c r="AG296" s="10" t="s">
        <v>1202</v>
      </c>
      <c r="AH296" s="10"/>
      <c r="AL296" s="24">
        <v>0.58333333333333337</v>
      </c>
      <c r="AM296" s="24">
        <v>0.95833333333333337</v>
      </c>
      <c r="AN296" s="24">
        <v>8.3333333333333329E-2</v>
      </c>
    </row>
    <row r="297" spans="1:40" ht="14.25" customHeight="1">
      <c r="A297">
        <v>307</v>
      </c>
      <c r="B297" s="1">
        <v>10666812</v>
      </c>
      <c r="C297" s="1" t="s">
        <v>627</v>
      </c>
      <c r="D297" s="1" t="s">
        <v>1236</v>
      </c>
      <c r="E297" s="1" t="s">
        <v>631</v>
      </c>
      <c r="F297" s="1" t="str">
        <f>D297&amp;" "&amp;E297</f>
        <v>YOON YATI AUNG -</v>
      </c>
      <c r="G297" s="1" t="s">
        <v>1236</v>
      </c>
      <c r="H297" s="1" t="s">
        <v>631</v>
      </c>
      <c r="I297" s="1">
        <v>10666812</v>
      </c>
      <c r="J297" s="1" t="s">
        <v>45</v>
      </c>
      <c r="K297" s="1" t="s">
        <v>877</v>
      </c>
      <c r="L297" s="1" t="s">
        <v>66</v>
      </c>
      <c r="M297" s="1" t="s">
        <v>48</v>
      </c>
      <c r="N297" s="1" t="s">
        <v>48</v>
      </c>
      <c r="O297" s="1" t="s">
        <v>878</v>
      </c>
      <c r="P297" s="1" t="s">
        <v>878</v>
      </c>
      <c r="Q297" s="1">
        <v>10358591</v>
      </c>
      <c r="R297" s="1" t="s">
        <v>921</v>
      </c>
      <c r="S297" s="3" t="s">
        <v>922</v>
      </c>
      <c r="T297" s="1" t="s">
        <v>52</v>
      </c>
      <c r="U297" s="1" t="s">
        <v>53</v>
      </c>
      <c r="V297" s="1" t="s">
        <v>54</v>
      </c>
      <c r="W297" s="1" t="s">
        <v>632</v>
      </c>
      <c r="X297" s="1">
        <v>1</v>
      </c>
      <c r="Y297" s="10" t="s">
        <v>923</v>
      </c>
      <c r="Z297" s="10" t="str">
        <f>_xlfn.XLOOKUP(B297,skill_metrix!A:A,skill_metrix!C:C,0)</f>
        <v>ไหล่(พิเศษ)</v>
      </c>
      <c r="AA297" s="10"/>
      <c r="AB297" s="10" t="s">
        <v>1200</v>
      </c>
      <c r="AC297" s="32" t="s">
        <v>58</v>
      </c>
      <c r="AD297" s="10"/>
      <c r="AE297" s="10" t="s">
        <v>1201</v>
      </c>
      <c r="AF297" s="10" t="s">
        <v>77</v>
      </c>
      <c r="AG297" s="10" t="s">
        <v>1202</v>
      </c>
      <c r="AH297" s="10"/>
      <c r="AL297" s="24">
        <v>0.58333333333333337</v>
      </c>
      <c r="AM297" s="24">
        <v>0.95833333333333337</v>
      </c>
      <c r="AN297" s="24">
        <v>8.3333333333333329E-2</v>
      </c>
    </row>
    <row r="298" spans="1:40" ht="14.25" customHeight="1">
      <c r="A298">
        <v>323</v>
      </c>
      <c r="B298" s="1">
        <v>10668180</v>
      </c>
      <c r="C298" s="1" t="s">
        <v>415</v>
      </c>
      <c r="D298" s="1" t="s">
        <v>1237</v>
      </c>
      <c r="E298" s="1" t="s">
        <v>631</v>
      </c>
      <c r="F298" s="1" t="str">
        <f>D298&amp;" "&amp;E298</f>
        <v>NAY ZAR LIN -</v>
      </c>
      <c r="G298" s="1" t="s">
        <v>1237</v>
      </c>
      <c r="H298" s="1" t="s">
        <v>631</v>
      </c>
      <c r="I298" s="1">
        <v>10668180</v>
      </c>
      <c r="J298" s="1" t="s">
        <v>45</v>
      </c>
      <c r="K298" s="2">
        <v>45667</v>
      </c>
      <c r="L298" s="1" t="s">
        <v>66</v>
      </c>
      <c r="M298" s="1" t="s">
        <v>48</v>
      </c>
      <c r="N298" s="1" t="s">
        <v>48</v>
      </c>
      <c r="O298" s="1" t="s">
        <v>936</v>
      </c>
      <c r="P298" s="1" t="s">
        <v>936</v>
      </c>
      <c r="Q298" s="1">
        <v>10358591</v>
      </c>
      <c r="R298" s="1" t="s">
        <v>921</v>
      </c>
      <c r="S298" s="3" t="s">
        <v>922</v>
      </c>
      <c r="T298" s="1" t="s">
        <v>52</v>
      </c>
      <c r="U298" s="1" t="s">
        <v>53</v>
      </c>
      <c r="V298" s="1" t="s">
        <v>54</v>
      </c>
      <c r="W298" s="1" t="s">
        <v>632</v>
      </c>
      <c r="X298" s="1">
        <v>1</v>
      </c>
      <c r="Y298" s="10" t="s">
        <v>923</v>
      </c>
      <c r="Z298" s="10" t="str">
        <f>_xlfn.XLOOKUP(B298,skill_metrix!A:A,skill_metrix!C:C,0)</f>
        <v>ไหล่(พิเศษ)</v>
      </c>
      <c r="AA298" s="10"/>
      <c r="AB298" s="10" t="s">
        <v>1200</v>
      </c>
      <c r="AC298" s="32" t="s">
        <v>212</v>
      </c>
      <c r="AD298" s="10" t="s">
        <v>59</v>
      </c>
      <c r="AE298" s="10" t="s">
        <v>1201</v>
      </c>
      <c r="AF298" s="10" t="s">
        <v>77</v>
      </c>
      <c r="AG298" s="10" t="s">
        <v>1202</v>
      </c>
      <c r="AH298" s="10"/>
      <c r="AL298" s="24">
        <v>0.58333333333333337</v>
      </c>
      <c r="AM298" s="24">
        <v>0.95833333333333337</v>
      </c>
      <c r="AN298" s="24">
        <v>8.3333333333333329E-2</v>
      </c>
    </row>
    <row r="299" spans="1:40" ht="14.25" customHeight="1">
      <c r="A299">
        <v>373</v>
      </c>
      <c r="B299" s="1">
        <v>10685868</v>
      </c>
      <c r="C299" s="1" t="s">
        <v>415</v>
      </c>
      <c r="D299" s="1" t="s">
        <v>1238</v>
      </c>
      <c r="E299" s="1" t="s">
        <v>631</v>
      </c>
      <c r="F299" s="1" t="str">
        <f>D299&amp;" "&amp;E299</f>
        <v>NAN LIN HTET -</v>
      </c>
      <c r="G299" s="1" t="s">
        <v>1238</v>
      </c>
      <c r="H299" s="1" t="s">
        <v>631</v>
      </c>
      <c r="I299" s="1">
        <v>10685868</v>
      </c>
      <c r="J299" s="1" t="s">
        <v>45</v>
      </c>
      <c r="K299" s="2">
        <v>46145</v>
      </c>
      <c r="L299" s="1" t="s">
        <v>66</v>
      </c>
      <c r="M299" s="1" t="s">
        <v>48</v>
      </c>
      <c r="N299" s="1" t="s">
        <v>98</v>
      </c>
      <c r="O299" s="2">
        <v>46060</v>
      </c>
      <c r="P299" s="1" t="s">
        <v>100</v>
      </c>
      <c r="Q299" s="1">
        <v>10358628</v>
      </c>
      <c r="R299" s="1" t="s">
        <v>981</v>
      </c>
      <c r="S299" s="3" t="s">
        <v>922</v>
      </c>
      <c r="T299" s="1" t="s">
        <v>52</v>
      </c>
      <c r="U299" s="1" t="s">
        <v>53</v>
      </c>
      <c r="V299" s="1" t="s">
        <v>54</v>
      </c>
      <c r="W299" s="1" t="s">
        <v>632</v>
      </c>
      <c r="X299" s="1">
        <v>1</v>
      </c>
      <c r="Y299" s="10" t="s">
        <v>923</v>
      </c>
      <c r="Z299" s="10" t="str">
        <f>_xlfn.XLOOKUP(B299,skill_metrix!A:A,skill_metrix!C:C,0)</f>
        <v>ไหล่(พิเศษ)</v>
      </c>
      <c r="AA299" s="10"/>
      <c r="AB299" s="10" t="s">
        <v>1200</v>
      </c>
      <c r="AC299" s="32" t="s">
        <v>84</v>
      </c>
      <c r="AD299" s="10"/>
      <c r="AE299" s="10" t="s">
        <v>1201</v>
      </c>
      <c r="AF299" s="10" t="s">
        <v>77</v>
      </c>
      <c r="AG299" s="10" t="s">
        <v>1202</v>
      </c>
      <c r="AH299" s="10"/>
      <c r="AL299" s="24">
        <v>0.58333333333333337</v>
      </c>
      <c r="AM299" s="24">
        <v>0.95833333333333337</v>
      </c>
      <c r="AN299" s="24">
        <v>8.3333333333333329E-2</v>
      </c>
    </row>
    <row r="300" spans="1:40" ht="14.25" customHeight="1">
      <c r="A300">
        <v>304</v>
      </c>
      <c r="B300" s="1">
        <v>10666793</v>
      </c>
      <c r="C300" s="1" t="s">
        <v>762</v>
      </c>
      <c r="D300" s="1" t="s">
        <v>1239</v>
      </c>
      <c r="E300" s="1" t="s">
        <v>631</v>
      </c>
      <c r="F300" s="1" t="str">
        <f>D300&amp;" "&amp;E300</f>
        <v>HNIN YU SHWE -</v>
      </c>
      <c r="G300" s="1" t="s">
        <v>1239</v>
      </c>
      <c r="H300" s="1" t="s">
        <v>631</v>
      </c>
      <c r="I300" s="1">
        <v>10666793</v>
      </c>
      <c r="J300" s="1" t="s">
        <v>45</v>
      </c>
      <c r="K300" s="1" t="s">
        <v>877</v>
      </c>
      <c r="L300" s="1" t="s">
        <v>66</v>
      </c>
      <c r="M300" s="1" t="s">
        <v>48</v>
      </c>
      <c r="N300" s="1" t="s">
        <v>48</v>
      </c>
      <c r="O300" s="1" t="s">
        <v>878</v>
      </c>
      <c r="P300" s="1" t="s">
        <v>878</v>
      </c>
      <c r="Q300" s="1">
        <v>10358591</v>
      </c>
      <c r="R300" s="1" t="s">
        <v>921</v>
      </c>
      <c r="S300" s="3" t="s">
        <v>922</v>
      </c>
      <c r="T300" s="1" t="s">
        <v>52</v>
      </c>
      <c r="U300" s="1" t="s">
        <v>53</v>
      </c>
      <c r="V300" s="1" t="s">
        <v>54</v>
      </c>
      <c r="W300" s="1" t="s">
        <v>632</v>
      </c>
      <c r="X300" s="1">
        <v>1</v>
      </c>
      <c r="Y300" s="10" t="s">
        <v>923</v>
      </c>
      <c r="Z300" s="10" t="str">
        <f>_xlfn.XLOOKUP(B300,skill_metrix!A:A,skill_metrix!C:C,0)</f>
        <v>ไหล่(พิเศษ)</v>
      </c>
      <c r="AA300" s="10"/>
      <c r="AB300" s="10" t="s">
        <v>1200</v>
      </c>
      <c r="AC300" s="32" t="s">
        <v>58</v>
      </c>
      <c r="AD300" s="10"/>
      <c r="AE300" s="10" t="s">
        <v>1201</v>
      </c>
      <c r="AF300" s="10" t="s">
        <v>77</v>
      </c>
      <c r="AG300" s="10" t="s">
        <v>1202</v>
      </c>
      <c r="AH300" s="10"/>
      <c r="AL300" s="24">
        <v>0.58333333333333337</v>
      </c>
      <c r="AM300" s="24">
        <v>0.95833333333333337</v>
      </c>
      <c r="AN300" s="24">
        <v>8.3333333333333329E-2</v>
      </c>
    </row>
    <row r="301" spans="1:40" ht="14.25" customHeight="1">
      <c r="A301">
        <v>370</v>
      </c>
      <c r="B301" s="1">
        <v>10685863</v>
      </c>
      <c r="C301" s="1" t="s">
        <v>627</v>
      </c>
      <c r="D301" s="1" t="s">
        <v>1240</v>
      </c>
      <c r="E301" s="1" t="s">
        <v>631</v>
      </c>
      <c r="F301" s="1" t="str">
        <f>D301&amp;" "&amp;E301</f>
        <v>EI THET HNIN MAUNG -</v>
      </c>
      <c r="G301" s="1" t="s">
        <v>1240</v>
      </c>
      <c r="H301" s="1" t="s">
        <v>631</v>
      </c>
      <c r="I301" s="1">
        <v>10685863</v>
      </c>
      <c r="J301" s="1" t="s">
        <v>45</v>
      </c>
      <c r="K301" s="2">
        <v>46145</v>
      </c>
      <c r="L301" s="1" t="s">
        <v>66</v>
      </c>
      <c r="M301" s="1" t="s">
        <v>48</v>
      </c>
      <c r="N301" s="1" t="s">
        <v>98</v>
      </c>
      <c r="O301" s="2">
        <v>46060</v>
      </c>
      <c r="P301" s="1" t="s">
        <v>100</v>
      </c>
      <c r="Q301" s="1">
        <v>10358591</v>
      </c>
      <c r="R301" s="1" t="s">
        <v>921</v>
      </c>
      <c r="S301" s="3" t="s">
        <v>922</v>
      </c>
      <c r="T301" s="1" t="s">
        <v>52</v>
      </c>
      <c r="U301" s="1" t="s">
        <v>53</v>
      </c>
      <c r="V301" s="1" t="s">
        <v>54</v>
      </c>
      <c r="W301" s="1" t="s">
        <v>632</v>
      </c>
      <c r="X301" s="1">
        <v>1</v>
      </c>
      <c r="Y301" s="10" t="s">
        <v>923</v>
      </c>
      <c r="Z301" s="10" t="str">
        <f>_xlfn.XLOOKUP(B301,skill_metrix!A:A,skill_metrix!C:C,0)</f>
        <v>ไหล่(พิเศษ)</v>
      </c>
      <c r="AA301" s="10"/>
      <c r="AB301" s="10" t="s">
        <v>1200</v>
      </c>
      <c r="AC301" s="32" t="s">
        <v>69</v>
      </c>
      <c r="AD301" s="10"/>
      <c r="AE301" s="10" t="s">
        <v>1201</v>
      </c>
      <c r="AF301" s="10" t="s">
        <v>77</v>
      </c>
      <c r="AG301" s="10" t="s">
        <v>1202</v>
      </c>
      <c r="AH301" s="10"/>
      <c r="AL301" s="24">
        <v>0.58333333333333337</v>
      </c>
      <c r="AM301" s="24">
        <v>0.95833333333333337</v>
      </c>
      <c r="AN301" s="24">
        <v>8.3333333333333329E-2</v>
      </c>
    </row>
    <row r="302" spans="1:40" ht="14.25" customHeight="1">
      <c r="A302">
        <v>280</v>
      </c>
      <c r="B302" s="1">
        <v>10660709</v>
      </c>
      <c r="C302" s="1" t="s">
        <v>39</v>
      </c>
      <c r="D302" s="1" t="s">
        <v>1241</v>
      </c>
      <c r="E302" s="1" t="s">
        <v>1242</v>
      </c>
      <c r="F302" s="1" t="str">
        <f>D302&amp;" "&amp;E302</f>
        <v>สุวรรณา อ่อนละมูล</v>
      </c>
      <c r="G302" s="1" t="s">
        <v>1243</v>
      </c>
      <c r="H302" s="1" t="s">
        <v>1244</v>
      </c>
      <c r="I302" s="1">
        <v>10660709</v>
      </c>
      <c r="J302" s="1" t="s">
        <v>45</v>
      </c>
      <c r="K302" s="1" t="s">
        <v>992</v>
      </c>
      <c r="L302" s="1" t="s">
        <v>66</v>
      </c>
      <c r="M302" s="1" t="s">
        <v>48</v>
      </c>
      <c r="N302" s="1" t="s">
        <v>48</v>
      </c>
      <c r="O302" s="1" t="s">
        <v>860</v>
      </c>
      <c r="P302" s="1" t="s">
        <v>860</v>
      </c>
      <c r="Q302" s="1">
        <v>10405353</v>
      </c>
      <c r="R302" s="1" t="s">
        <v>955</v>
      </c>
      <c r="S302" s="3" t="s">
        <v>922</v>
      </c>
      <c r="T302" s="1" t="s">
        <v>52</v>
      </c>
      <c r="U302" s="1" t="s">
        <v>53</v>
      </c>
      <c r="V302" s="1" t="s">
        <v>54</v>
      </c>
      <c r="W302" s="1" t="s">
        <v>55</v>
      </c>
      <c r="X302" s="1">
        <v>1</v>
      </c>
      <c r="Y302" s="10" t="s">
        <v>923</v>
      </c>
      <c r="Z302" s="10">
        <f>_xlfn.XLOOKUP(B302,skill_metrix!A:A,skill_metrix!C:C,0)</f>
        <v>0</v>
      </c>
      <c r="AA302" s="10"/>
      <c r="AB302" s="10"/>
      <c r="AC302" s="32"/>
      <c r="AD302" s="10"/>
      <c r="AE302" s="10"/>
      <c r="AF302" s="10"/>
      <c r="AG302" s="10"/>
      <c r="AH302" s="10"/>
    </row>
    <row r="303" spans="1:40" ht="14.25" customHeight="1">
      <c r="A303">
        <v>408</v>
      </c>
      <c r="B303" s="1">
        <v>10688548</v>
      </c>
      <c r="C303" s="1" t="s">
        <v>92</v>
      </c>
      <c r="D303" s="1" t="s">
        <v>1245</v>
      </c>
      <c r="E303" s="1" t="s">
        <v>1246</v>
      </c>
      <c r="F303" s="1" t="str">
        <f>D303&amp;" "&amp;E303</f>
        <v>สุทธิราช ชูดอกไม้</v>
      </c>
      <c r="G303" s="1" t="s">
        <v>1247</v>
      </c>
      <c r="H303" s="1" t="s">
        <v>1248</v>
      </c>
      <c r="I303" s="1">
        <v>10688548</v>
      </c>
      <c r="J303" s="1" t="s">
        <v>45</v>
      </c>
      <c r="K303" s="1" t="s">
        <v>453</v>
      </c>
      <c r="L303" s="1" t="s">
        <v>66</v>
      </c>
      <c r="M303" s="1" t="s">
        <v>48</v>
      </c>
      <c r="N303" s="1" t="s">
        <v>98</v>
      </c>
      <c r="O303" s="1" t="s">
        <v>454</v>
      </c>
      <c r="P303" s="1" t="s">
        <v>100</v>
      </c>
      <c r="Q303" s="1">
        <v>10358581</v>
      </c>
      <c r="R303" s="1" t="s">
        <v>1123</v>
      </c>
      <c r="S303" s="3" t="s">
        <v>922</v>
      </c>
      <c r="T303" s="1" t="s">
        <v>52</v>
      </c>
      <c r="U303" s="1" t="s">
        <v>53</v>
      </c>
      <c r="V303" s="1" t="s">
        <v>54</v>
      </c>
      <c r="W303" s="1" t="s">
        <v>55</v>
      </c>
      <c r="X303" s="1">
        <v>1</v>
      </c>
      <c r="Y303" s="10" t="s">
        <v>923</v>
      </c>
      <c r="Z303" s="10" t="str">
        <f>_xlfn.XLOOKUP(B303,skill_metrix!A:A,skill_metrix!C:C,0)</f>
        <v>สามชั้น(พิเศษ)</v>
      </c>
      <c r="AA303" s="10"/>
      <c r="AB303" s="10"/>
      <c r="AC303" s="32"/>
      <c r="AD303" s="23" t="s">
        <v>1249</v>
      </c>
      <c r="AE303" s="23"/>
      <c r="AF303" s="10"/>
      <c r="AG303" s="10"/>
      <c r="AH303" s="10"/>
    </row>
    <row r="304" spans="1:40" ht="14.25" customHeight="1">
      <c r="A304">
        <v>402</v>
      </c>
      <c r="B304" s="1">
        <v>10688523</v>
      </c>
      <c r="C304" s="1" t="s">
        <v>39</v>
      </c>
      <c r="D304" s="1" t="s">
        <v>1250</v>
      </c>
      <c r="E304" s="1" t="s">
        <v>1251</v>
      </c>
      <c r="F304" s="1" t="str">
        <f>D304&amp;" "&amp;E304</f>
        <v>สุดาทิพย์ พงษ์ศร</v>
      </c>
      <c r="G304" s="1" t="s">
        <v>1252</v>
      </c>
      <c r="H304" s="1" t="s">
        <v>1253</v>
      </c>
      <c r="I304" s="1">
        <v>10688523</v>
      </c>
      <c r="J304" s="1" t="s">
        <v>45</v>
      </c>
      <c r="K304" s="1" t="s">
        <v>453</v>
      </c>
      <c r="L304" s="1" t="s">
        <v>66</v>
      </c>
      <c r="M304" s="1" t="s">
        <v>48</v>
      </c>
      <c r="N304" s="1" t="s">
        <v>98</v>
      </c>
      <c r="O304" s="1" t="s">
        <v>454</v>
      </c>
      <c r="P304" s="1" t="s">
        <v>100</v>
      </c>
      <c r="Q304" s="1">
        <v>10405354</v>
      </c>
      <c r="R304" s="1" t="s">
        <v>1165</v>
      </c>
      <c r="S304" s="3" t="s">
        <v>922</v>
      </c>
      <c r="T304" s="1" t="s">
        <v>52</v>
      </c>
      <c r="U304" s="1" t="s">
        <v>53</v>
      </c>
      <c r="V304" s="1" t="s">
        <v>54</v>
      </c>
      <c r="W304" s="1" t="s">
        <v>55</v>
      </c>
      <c r="X304" s="1">
        <v>1</v>
      </c>
      <c r="Y304" s="10" t="s">
        <v>923</v>
      </c>
      <c r="Z304" s="10" t="str">
        <f>_xlfn.XLOOKUP(B304,skill_metrix!A:A,skill_metrix!C:C,0)</f>
        <v>สะโพก(พิเศษ)</v>
      </c>
      <c r="AA304" s="10"/>
      <c r="AB304" s="10"/>
      <c r="AC304" s="32"/>
      <c r="AD304" s="10" t="s">
        <v>1254</v>
      </c>
      <c r="AE304" s="10"/>
      <c r="AF304" s="10"/>
      <c r="AH304" s="10"/>
    </row>
    <row r="305" spans="1:38" ht="14.25" customHeight="1">
      <c r="A305">
        <v>84</v>
      </c>
      <c r="B305" s="1">
        <v>10430995</v>
      </c>
      <c r="C305" s="1" t="s">
        <v>92</v>
      </c>
      <c r="D305" s="1" t="s">
        <v>1255</v>
      </c>
      <c r="E305" s="1" t="s">
        <v>1256</v>
      </c>
      <c r="F305" s="1" t="str">
        <f>D305&amp;" "&amp;E305</f>
        <v>วีระ เกื้อกระโทก</v>
      </c>
      <c r="G305" s="1" t="s">
        <v>1257</v>
      </c>
      <c r="H305" s="1" t="s">
        <v>1258</v>
      </c>
      <c r="I305" s="1" t="s">
        <v>1259</v>
      </c>
      <c r="J305" s="1" t="s">
        <v>45</v>
      </c>
      <c r="K305" s="1" t="s">
        <v>1260</v>
      </c>
      <c r="L305" s="1" t="s">
        <v>47</v>
      </c>
      <c r="M305" s="1" t="s">
        <v>48</v>
      </c>
      <c r="N305" s="1" t="s">
        <v>48</v>
      </c>
      <c r="O305" s="1" t="s">
        <v>1261</v>
      </c>
      <c r="P305" s="1" t="s">
        <v>1261</v>
      </c>
      <c r="Q305" s="1">
        <v>10389567</v>
      </c>
      <c r="R305" s="1" t="s">
        <v>1262</v>
      </c>
      <c r="S305" s="3" t="s">
        <v>922</v>
      </c>
      <c r="T305" s="1" t="s">
        <v>52</v>
      </c>
      <c r="U305" s="1" t="s">
        <v>53</v>
      </c>
      <c r="V305" s="1" t="s">
        <v>54</v>
      </c>
      <c r="W305" s="1" t="s">
        <v>55</v>
      </c>
      <c r="X305" s="1">
        <v>1</v>
      </c>
      <c r="Y305" s="10" t="s">
        <v>923</v>
      </c>
      <c r="Z305" s="10">
        <f>_xlfn.XLOOKUP(B305,skill_metrix!A:A,skill_metrix!C:C,0)</f>
        <v>0</v>
      </c>
      <c r="AA305" s="10"/>
      <c r="AB305" s="10"/>
      <c r="AC305" s="32"/>
      <c r="AD305" s="10"/>
      <c r="AE305" s="10"/>
      <c r="AF305" s="10"/>
      <c r="AG305" s="10"/>
      <c r="AH305" s="10"/>
    </row>
    <row r="306" spans="1:38" ht="14.25" customHeight="1">
      <c r="A306">
        <v>415</v>
      </c>
      <c r="B306" s="1">
        <v>10691413</v>
      </c>
      <c r="C306" s="1" t="s">
        <v>92</v>
      </c>
      <c r="D306" s="1" t="s">
        <v>1263</v>
      </c>
      <c r="E306" s="1" t="s">
        <v>1264</v>
      </c>
      <c r="F306" s="1" t="str">
        <f>D306&amp;" "&amp;E306</f>
        <v>รพีภัทร มีสัตย์</v>
      </c>
      <c r="G306" s="1" t="s">
        <v>1265</v>
      </c>
      <c r="H306" s="1" t="s">
        <v>1266</v>
      </c>
      <c r="I306" s="1">
        <v>10691413</v>
      </c>
      <c r="J306" s="1" t="s">
        <v>45</v>
      </c>
      <c r="K306" s="2">
        <v>46026</v>
      </c>
      <c r="L306" s="1" t="s">
        <v>66</v>
      </c>
      <c r="M306" s="1" t="s">
        <v>48</v>
      </c>
      <c r="N306" s="1" t="s">
        <v>98</v>
      </c>
      <c r="O306" s="1" t="s">
        <v>466</v>
      </c>
      <c r="P306" s="1" t="s">
        <v>100</v>
      </c>
      <c r="Q306" s="1">
        <v>10358581</v>
      </c>
      <c r="R306" s="1" t="s">
        <v>1123</v>
      </c>
      <c r="S306" s="3" t="s">
        <v>922</v>
      </c>
      <c r="T306" s="1" t="s">
        <v>52</v>
      </c>
      <c r="U306" s="1" t="s">
        <v>53</v>
      </c>
      <c r="V306" s="1" t="s">
        <v>54</v>
      </c>
      <c r="W306" s="1" t="s">
        <v>55</v>
      </c>
      <c r="X306" s="1">
        <v>1</v>
      </c>
      <c r="Y306" s="10" t="s">
        <v>923</v>
      </c>
      <c r="Z306" s="10" t="str">
        <f>_xlfn.XLOOKUP(B306,skill_metrix!A:A,skill_metrix!C:C,0)</f>
        <v>สามชั้น(พิเศษ)</v>
      </c>
      <c r="AA306" s="10"/>
      <c r="AB306" s="10"/>
      <c r="AC306" s="32"/>
      <c r="AD306" s="10" t="s">
        <v>1267</v>
      </c>
      <c r="AE306" s="10"/>
      <c r="AF306" s="10"/>
      <c r="AG306" s="10"/>
      <c r="AH306" s="10"/>
    </row>
    <row r="307" spans="1:38" ht="14.25" customHeight="1">
      <c r="A307">
        <v>298</v>
      </c>
      <c r="B307" s="1">
        <v>10666740</v>
      </c>
      <c r="C307" s="1" t="s">
        <v>92</v>
      </c>
      <c r="D307" s="1" t="s">
        <v>1268</v>
      </c>
      <c r="E307" s="1" t="s">
        <v>1269</v>
      </c>
      <c r="F307" s="1" t="str">
        <f>D307&amp;" "&amp;E307</f>
        <v>ณรงค์ฤทธิ์ พรมจารีย์</v>
      </c>
      <c r="G307" s="1" t="s">
        <v>1270</v>
      </c>
      <c r="H307" s="1" t="s">
        <v>1271</v>
      </c>
      <c r="I307" s="1">
        <v>10666740</v>
      </c>
      <c r="J307" s="1" t="s">
        <v>45</v>
      </c>
      <c r="K307" s="1" t="s">
        <v>877</v>
      </c>
      <c r="L307" s="1" t="s">
        <v>66</v>
      </c>
      <c r="M307" s="1" t="s">
        <v>48</v>
      </c>
      <c r="N307" s="1" t="s">
        <v>48</v>
      </c>
      <c r="O307" s="1" t="s">
        <v>878</v>
      </c>
      <c r="P307" s="1" t="s">
        <v>878</v>
      </c>
      <c r="Q307" s="1">
        <v>10358591</v>
      </c>
      <c r="R307" s="1" t="s">
        <v>921</v>
      </c>
      <c r="S307" s="3" t="s">
        <v>922</v>
      </c>
      <c r="T307" s="1" t="s">
        <v>52</v>
      </c>
      <c r="U307" s="1" t="s">
        <v>53</v>
      </c>
      <c r="V307" s="1" t="s">
        <v>54</v>
      </c>
      <c r="W307" s="1" t="s">
        <v>55</v>
      </c>
      <c r="X307" s="1">
        <v>1</v>
      </c>
      <c r="Y307" s="10" t="s">
        <v>923</v>
      </c>
      <c r="Z307" s="10" t="str">
        <f>_xlfn.XLOOKUP(B307,skill_metrix!A:A,skill_metrix!C:C,0)</f>
        <v>สามชั้น(พิเศษ)</v>
      </c>
      <c r="AA307" s="10"/>
      <c r="AB307" s="10"/>
      <c r="AC307" s="32"/>
      <c r="AD307" s="10"/>
      <c r="AE307" s="10"/>
      <c r="AF307" s="10"/>
      <c r="AG307" s="10"/>
      <c r="AH307" s="10"/>
    </row>
    <row r="308" spans="1:38" ht="14.25" customHeight="1">
      <c r="A308">
        <v>405</v>
      </c>
      <c r="B308" s="1">
        <v>10688535</v>
      </c>
      <c r="C308" s="1" t="s">
        <v>92</v>
      </c>
      <c r="D308" s="1" t="s">
        <v>213</v>
      </c>
      <c r="E308" s="1" t="s">
        <v>847</v>
      </c>
      <c r="F308" s="1" t="str">
        <f>D308&amp;" "&amp;E308</f>
        <v>ณัฐพล รอดดี</v>
      </c>
      <c r="G308" s="1" t="s">
        <v>80</v>
      </c>
      <c r="H308" s="1" t="s">
        <v>1272</v>
      </c>
      <c r="I308" s="1">
        <v>10688535</v>
      </c>
      <c r="J308" s="1" t="s">
        <v>45</v>
      </c>
      <c r="K308" s="1" t="s">
        <v>453</v>
      </c>
      <c r="L308" s="1" t="s">
        <v>66</v>
      </c>
      <c r="M308" s="1" t="s">
        <v>48</v>
      </c>
      <c r="N308" s="1" t="s">
        <v>98</v>
      </c>
      <c r="O308" s="1" t="s">
        <v>454</v>
      </c>
      <c r="P308" s="1" t="s">
        <v>100</v>
      </c>
      <c r="Q308" s="1">
        <v>10358532</v>
      </c>
      <c r="R308" s="1" t="s">
        <v>1273</v>
      </c>
      <c r="S308" s="3" t="s">
        <v>1274</v>
      </c>
      <c r="T308" s="1" t="s">
        <v>52</v>
      </c>
      <c r="U308" s="1" t="s">
        <v>53</v>
      </c>
      <c r="V308" s="1" t="s">
        <v>54</v>
      </c>
      <c r="W308" s="1" t="s">
        <v>55</v>
      </c>
      <c r="X308" s="1">
        <v>1</v>
      </c>
      <c r="Y308" s="10" t="s">
        <v>604</v>
      </c>
      <c r="Z308" s="10"/>
      <c r="AA308" s="10"/>
      <c r="AB308" s="10" t="s">
        <v>605</v>
      </c>
      <c r="AC308" s="32" t="s">
        <v>102</v>
      </c>
      <c r="AD308" s="10"/>
      <c r="AE308" s="10"/>
      <c r="AF308" s="10" t="s">
        <v>59</v>
      </c>
      <c r="AG308" s="10"/>
      <c r="AH308" s="10"/>
      <c r="AI308" s="24">
        <v>0.33333333333333331</v>
      </c>
      <c r="AJ308" s="24">
        <v>0.70833333333333337</v>
      </c>
    </row>
    <row r="309" spans="1:38" ht="14.25" customHeight="1">
      <c r="A309">
        <v>190</v>
      </c>
      <c r="B309" s="1">
        <v>10617307</v>
      </c>
      <c r="C309" s="1" t="s">
        <v>39</v>
      </c>
      <c r="D309" s="1" t="s">
        <v>1275</v>
      </c>
      <c r="E309" s="1" t="s">
        <v>1276</v>
      </c>
      <c r="F309" s="1" t="str">
        <f>D309&amp;" "&amp;E309</f>
        <v>ละอองดาว พรปกเกล้า</v>
      </c>
      <c r="G309" s="1" t="s">
        <v>1277</v>
      </c>
      <c r="H309" s="1" t="s">
        <v>1278</v>
      </c>
      <c r="I309" s="1">
        <v>10617307</v>
      </c>
      <c r="J309" s="1" t="s">
        <v>45</v>
      </c>
      <c r="K309" s="1" t="s">
        <v>1142</v>
      </c>
      <c r="L309" s="1" t="s">
        <v>66</v>
      </c>
      <c r="M309" s="1" t="s">
        <v>48</v>
      </c>
      <c r="N309" s="1" t="s">
        <v>48</v>
      </c>
      <c r="O309" s="2">
        <v>45637</v>
      </c>
      <c r="P309" s="2">
        <v>45637</v>
      </c>
      <c r="Q309" s="1">
        <v>10358560</v>
      </c>
      <c r="R309" s="1" t="s">
        <v>1279</v>
      </c>
      <c r="S309" s="3" t="s">
        <v>1274</v>
      </c>
      <c r="T309" s="1" t="s">
        <v>52</v>
      </c>
      <c r="U309" s="1" t="s">
        <v>53</v>
      </c>
      <c r="V309" s="1" t="s">
        <v>54</v>
      </c>
      <c r="W309" s="1" t="s">
        <v>55</v>
      </c>
      <c r="X309" s="1">
        <v>1</v>
      </c>
      <c r="Y309" s="10" t="s">
        <v>604</v>
      </c>
      <c r="Z309" s="10"/>
      <c r="AA309" s="10"/>
      <c r="AB309" s="10" t="s">
        <v>605</v>
      </c>
      <c r="AC309" s="32"/>
      <c r="AD309" s="10" t="s">
        <v>1280</v>
      </c>
      <c r="AE309" s="10"/>
      <c r="AF309" s="10" t="s">
        <v>77</v>
      </c>
      <c r="AG309" s="10"/>
      <c r="AH309" s="10"/>
      <c r="AI309" s="37">
        <v>16</v>
      </c>
      <c r="AJ309" s="37">
        <v>1</v>
      </c>
    </row>
    <row r="310" spans="1:38" ht="14.25" customHeight="1">
      <c r="A310">
        <v>178</v>
      </c>
      <c r="B310" s="1">
        <v>10606762</v>
      </c>
      <c r="C310" s="1" t="s">
        <v>39</v>
      </c>
      <c r="D310" s="1" t="s">
        <v>1281</v>
      </c>
      <c r="E310" s="1" t="s">
        <v>1282</v>
      </c>
      <c r="F310" s="1" t="str">
        <f>D310&amp;" "&amp;E310</f>
        <v>น้ำอ้อย สีน้ำเงิน</v>
      </c>
      <c r="G310" s="1" t="s">
        <v>1283</v>
      </c>
      <c r="H310" s="1" t="s">
        <v>1284</v>
      </c>
      <c r="I310" s="1">
        <v>10606762</v>
      </c>
      <c r="J310" s="1" t="s">
        <v>45</v>
      </c>
      <c r="K310" s="2">
        <v>45327</v>
      </c>
      <c r="L310" s="1" t="s">
        <v>66</v>
      </c>
      <c r="M310" s="1" t="s">
        <v>48</v>
      </c>
      <c r="N310" s="1" t="s">
        <v>48</v>
      </c>
      <c r="O310" s="1" t="s">
        <v>232</v>
      </c>
      <c r="P310" s="1" t="s">
        <v>232</v>
      </c>
      <c r="Q310" s="1">
        <v>10358560</v>
      </c>
      <c r="R310" s="1" t="s">
        <v>1279</v>
      </c>
      <c r="S310" s="3" t="s">
        <v>1274</v>
      </c>
      <c r="T310" s="1" t="s">
        <v>52</v>
      </c>
      <c r="U310" s="1" t="s">
        <v>53</v>
      </c>
      <c r="V310" s="1" t="s">
        <v>54</v>
      </c>
      <c r="W310" s="1" t="s">
        <v>55</v>
      </c>
      <c r="X310" s="1">
        <v>1</v>
      </c>
      <c r="Y310" s="10" t="s">
        <v>604</v>
      </c>
      <c r="Z310" s="10"/>
      <c r="AA310" s="10"/>
      <c r="AB310" s="10" t="s">
        <v>605</v>
      </c>
      <c r="AC310" s="32"/>
      <c r="AD310" s="10"/>
      <c r="AE310" s="10"/>
      <c r="AF310" s="10" t="s">
        <v>77</v>
      </c>
      <c r="AG310" s="10"/>
      <c r="AH310" s="10"/>
    </row>
    <row r="311" spans="1:38" ht="14.25" customHeight="1">
      <c r="A311">
        <v>161</v>
      </c>
      <c r="B311" s="1">
        <v>10576560</v>
      </c>
      <c r="C311" s="1" t="s">
        <v>92</v>
      </c>
      <c r="D311" s="1" t="s">
        <v>1285</v>
      </c>
      <c r="E311" s="1" t="s">
        <v>1286</v>
      </c>
      <c r="F311" s="1" t="str">
        <f>D311&amp;" "&amp;E311</f>
        <v>อุทิศ โพธิ์ทอง</v>
      </c>
      <c r="G311" s="1" t="s">
        <v>1287</v>
      </c>
      <c r="H311" s="1" t="s">
        <v>1288</v>
      </c>
      <c r="I311" s="1">
        <v>10576560</v>
      </c>
      <c r="J311" s="1" t="s">
        <v>45</v>
      </c>
      <c r="K311" s="1" t="s">
        <v>738</v>
      </c>
      <c r="L311" s="1" t="s">
        <v>66</v>
      </c>
      <c r="M311" s="1" t="s">
        <v>48</v>
      </c>
      <c r="N311" s="1" t="s">
        <v>48</v>
      </c>
      <c r="O311" s="1" t="s">
        <v>739</v>
      </c>
      <c r="P311" s="1" t="s">
        <v>739</v>
      </c>
      <c r="Q311" s="1">
        <v>10358530</v>
      </c>
      <c r="R311" s="1" t="s">
        <v>1289</v>
      </c>
      <c r="S311" s="3" t="s">
        <v>1274</v>
      </c>
      <c r="T311" s="1" t="s">
        <v>52</v>
      </c>
      <c r="U311" s="1" t="s">
        <v>53</v>
      </c>
      <c r="V311" s="1" t="s">
        <v>54</v>
      </c>
      <c r="W311" s="1" t="s">
        <v>55</v>
      </c>
      <c r="X311" s="1">
        <v>1</v>
      </c>
      <c r="Y311" s="10" t="s">
        <v>604</v>
      </c>
      <c r="Z311" s="10"/>
      <c r="AA311" s="10"/>
      <c r="AB311" s="10" t="s">
        <v>745</v>
      </c>
      <c r="AC311" s="32" t="s">
        <v>102</v>
      </c>
      <c r="AD311" s="10"/>
      <c r="AE311" s="10"/>
      <c r="AF311" s="10" t="s">
        <v>59</v>
      </c>
      <c r="AG311" s="10"/>
      <c r="AH311" s="10"/>
      <c r="AI311" s="37"/>
      <c r="AJ311" s="37"/>
    </row>
    <row r="312" spans="1:38" ht="14.25" customHeight="1">
      <c r="A312">
        <v>394</v>
      </c>
      <c r="B312" s="1">
        <v>10688358</v>
      </c>
      <c r="C312" s="1" t="s">
        <v>92</v>
      </c>
      <c r="D312" s="1" t="s">
        <v>1290</v>
      </c>
      <c r="E312" s="1" t="s">
        <v>1291</v>
      </c>
      <c r="F312" s="1" t="str">
        <f>D312&amp;" "&amp;E312</f>
        <v>ภูวดล หงส์ประสิทธิ์</v>
      </c>
      <c r="G312" s="1" t="s">
        <v>1292</v>
      </c>
      <c r="H312" s="1" t="s">
        <v>1293</v>
      </c>
      <c r="I312" s="1">
        <v>10688358</v>
      </c>
      <c r="J312" s="1" t="s">
        <v>45</v>
      </c>
      <c r="K312" s="1" t="s">
        <v>471</v>
      </c>
      <c r="L312" s="1" t="s">
        <v>66</v>
      </c>
      <c r="M312" s="1" t="s">
        <v>48</v>
      </c>
      <c r="N312" s="1" t="s">
        <v>98</v>
      </c>
      <c r="O312" s="1" t="s">
        <v>472</v>
      </c>
      <c r="P312" s="1" t="s">
        <v>100</v>
      </c>
      <c r="Q312" s="1">
        <v>10358541</v>
      </c>
      <c r="R312" s="1" t="s">
        <v>1294</v>
      </c>
      <c r="S312" s="3" t="s">
        <v>1274</v>
      </c>
      <c r="T312" s="1" t="s">
        <v>52</v>
      </c>
      <c r="U312" s="1" t="s">
        <v>53</v>
      </c>
      <c r="V312" s="1" t="s">
        <v>54</v>
      </c>
      <c r="W312" s="1" t="s">
        <v>55</v>
      </c>
      <c r="X312" s="1">
        <v>1</v>
      </c>
      <c r="Y312" s="10" t="s">
        <v>604</v>
      </c>
      <c r="Z312" s="10"/>
      <c r="AA312" s="10"/>
      <c r="AB312" s="10" t="s">
        <v>745</v>
      </c>
      <c r="AC312" s="32" t="s">
        <v>102</v>
      </c>
      <c r="AD312" s="10"/>
      <c r="AE312" s="10"/>
      <c r="AF312" s="10" t="s">
        <v>59</v>
      </c>
      <c r="AG312" s="10"/>
      <c r="AH312" s="10"/>
      <c r="AI312" s="37"/>
      <c r="AJ312" s="37"/>
    </row>
    <row r="313" spans="1:38" ht="14.25" customHeight="1">
      <c r="D313" t="s">
        <v>1295</v>
      </c>
      <c r="E313" t="s">
        <v>1296</v>
      </c>
      <c r="S313" s="3" t="s">
        <v>1274</v>
      </c>
      <c r="AA313" s="10"/>
      <c r="AB313" s="10" t="s">
        <v>745</v>
      </c>
      <c r="AC313" s="33" t="s">
        <v>102</v>
      </c>
      <c r="AF313" s="10" t="s">
        <v>59</v>
      </c>
      <c r="AI313" s="37"/>
      <c r="AJ313" s="37"/>
    </row>
    <row r="314" spans="1:38" ht="14.25" customHeight="1">
      <c r="A314">
        <v>277</v>
      </c>
      <c r="B314" s="1">
        <v>10660675</v>
      </c>
      <c r="C314" s="1" t="s">
        <v>92</v>
      </c>
      <c r="D314" s="1" t="s">
        <v>1297</v>
      </c>
      <c r="E314" s="1" t="s">
        <v>1298</v>
      </c>
      <c r="F314" s="1" t="str">
        <f>D314&amp;" "&amp;E314</f>
        <v>พิเชษฐ์ สุขเลี้ยง</v>
      </c>
      <c r="G314" s="1" t="s">
        <v>1299</v>
      </c>
      <c r="H314" s="1" t="s">
        <v>1300</v>
      </c>
      <c r="I314" s="1">
        <v>10660675</v>
      </c>
      <c r="J314" s="1" t="s">
        <v>45</v>
      </c>
      <c r="K314" s="1" t="s">
        <v>992</v>
      </c>
      <c r="L314" s="1" t="s">
        <v>66</v>
      </c>
      <c r="M314" s="1" t="s">
        <v>48</v>
      </c>
      <c r="N314" s="1" t="s">
        <v>48</v>
      </c>
      <c r="O314" s="1" t="s">
        <v>860</v>
      </c>
      <c r="P314" s="1" t="s">
        <v>860</v>
      </c>
      <c r="Q314" s="1">
        <v>10358532</v>
      </c>
      <c r="R314" s="1" t="s">
        <v>1273</v>
      </c>
      <c r="S314" s="3" t="s">
        <v>1274</v>
      </c>
      <c r="T314" s="1" t="s">
        <v>52</v>
      </c>
      <c r="U314" s="1" t="s">
        <v>53</v>
      </c>
      <c r="V314" s="1" t="s">
        <v>54</v>
      </c>
      <c r="W314" s="1" t="s">
        <v>55</v>
      </c>
      <c r="X314" s="1">
        <v>1</v>
      </c>
      <c r="Y314" s="10" t="s">
        <v>604</v>
      </c>
      <c r="Z314" s="10"/>
      <c r="AA314" s="10"/>
      <c r="AB314" s="10" t="s">
        <v>745</v>
      </c>
      <c r="AC314" s="32" t="s">
        <v>102</v>
      </c>
      <c r="AD314" s="10"/>
      <c r="AE314" s="10"/>
      <c r="AF314" s="10" t="s">
        <v>59</v>
      </c>
      <c r="AG314" s="10"/>
      <c r="AH314" s="10"/>
      <c r="AI314" s="37"/>
      <c r="AJ314" s="37"/>
    </row>
    <row r="315" spans="1:38" ht="14.25" customHeight="1">
      <c r="B315" s="10" t="s">
        <v>1301</v>
      </c>
      <c r="D315" t="s">
        <v>917</v>
      </c>
      <c r="E315" t="s">
        <v>918</v>
      </c>
      <c r="S315" s="3" t="s">
        <v>1274</v>
      </c>
      <c r="AA315" s="10"/>
      <c r="AB315" s="10" t="s">
        <v>745</v>
      </c>
      <c r="AC315" s="33" t="s">
        <v>102</v>
      </c>
      <c r="AF315" s="10" t="s">
        <v>59</v>
      </c>
      <c r="AI315" s="37"/>
      <c r="AJ315" s="37"/>
    </row>
    <row r="316" spans="1:38" ht="14.25" customHeight="1">
      <c r="A316">
        <v>346</v>
      </c>
      <c r="B316" s="1">
        <v>10676719</v>
      </c>
      <c r="C316" s="1" t="s">
        <v>92</v>
      </c>
      <c r="D316" s="1" t="s">
        <v>1302</v>
      </c>
      <c r="E316" s="1" t="s">
        <v>1298</v>
      </c>
      <c r="F316" s="1" t="str">
        <f>D316&amp;" "&amp;E316</f>
        <v>นำโชค สุขเลี้ยง</v>
      </c>
      <c r="G316" s="1" t="s">
        <v>1303</v>
      </c>
      <c r="H316" s="1" t="s">
        <v>1304</v>
      </c>
      <c r="I316" s="1">
        <v>10676719</v>
      </c>
      <c r="J316" s="1" t="s">
        <v>45</v>
      </c>
      <c r="K316" s="1" t="s">
        <v>440</v>
      </c>
      <c r="L316" s="1" t="s">
        <v>66</v>
      </c>
      <c r="M316" s="1" t="s">
        <v>48</v>
      </c>
      <c r="N316" s="1" t="s">
        <v>48</v>
      </c>
      <c r="O316" s="1" t="s">
        <v>441</v>
      </c>
      <c r="P316" s="1" t="s">
        <v>441</v>
      </c>
      <c r="Q316" s="1">
        <v>10358532</v>
      </c>
      <c r="R316" s="1" t="s">
        <v>1273</v>
      </c>
      <c r="S316" s="3" t="s">
        <v>1274</v>
      </c>
      <c r="T316" s="1" t="s">
        <v>52</v>
      </c>
      <c r="U316" s="1" t="s">
        <v>53</v>
      </c>
      <c r="V316" s="1" t="s">
        <v>54</v>
      </c>
      <c r="W316" s="1" t="s">
        <v>55</v>
      </c>
      <c r="X316" s="1">
        <v>1</v>
      </c>
      <c r="Y316" s="10" t="s">
        <v>604</v>
      </c>
      <c r="Z316" s="10"/>
      <c r="AA316" s="10"/>
      <c r="AB316" s="10" t="s">
        <v>745</v>
      </c>
      <c r="AC316" s="32" t="s">
        <v>102</v>
      </c>
      <c r="AD316" s="10"/>
      <c r="AE316" s="10"/>
      <c r="AF316" s="10" t="s">
        <v>59</v>
      </c>
      <c r="AG316" s="10"/>
      <c r="AH316" s="10"/>
      <c r="AI316" s="37"/>
      <c r="AJ316" s="37"/>
    </row>
    <row r="317" spans="1:38" ht="14.25" customHeight="1">
      <c r="D317" t="s">
        <v>1268</v>
      </c>
      <c r="E317" t="s">
        <v>1269</v>
      </c>
      <c r="S317" s="3" t="s">
        <v>1274</v>
      </c>
      <c r="AA317" s="10"/>
      <c r="AB317" s="10" t="s">
        <v>745</v>
      </c>
      <c r="AC317" s="33" t="s">
        <v>102</v>
      </c>
      <c r="AF317" s="10" t="s">
        <v>59</v>
      </c>
      <c r="AI317" s="37"/>
      <c r="AJ317" s="37"/>
    </row>
    <row r="318" spans="1:38" ht="14.25" customHeight="1">
      <c r="A318">
        <v>208</v>
      </c>
      <c r="B318" s="1">
        <v>10639715</v>
      </c>
      <c r="C318" s="1" t="s">
        <v>39</v>
      </c>
      <c r="D318" s="1" t="s">
        <v>1305</v>
      </c>
      <c r="E318" s="1" t="s">
        <v>1306</v>
      </c>
      <c r="F318" s="1" t="str">
        <f>D318&amp;" "&amp;E318</f>
        <v>ชนธิชา ปัดทะสี</v>
      </c>
      <c r="G318" s="1" t="s">
        <v>1307</v>
      </c>
      <c r="H318" s="1" t="s">
        <v>1308</v>
      </c>
      <c r="I318" s="1">
        <v>10639715</v>
      </c>
      <c r="J318" s="1" t="s">
        <v>45</v>
      </c>
      <c r="K318" s="2">
        <v>45719</v>
      </c>
      <c r="L318" s="1" t="s">
        <v>66</v>
      </c>
      <c r="M318" s="1" t="s">
        <v>48</v>
      </c>
      <c r="N318" s="1" t="s">
        <v>48</v>
      </c>
      <c r="O318" s="1" t="s">
        <v>1309</v>
      </c>
      <c r="P318" s="1" t="s">
        <v>1309</v>
      </c>
      <c r="Q318" s="1">
        <v>10358528</v>
      </c>
      <c r="R318" s="1" t="s">
        <v>1310</v>
      </c>
      <c r="S318" s="3" t="s">
        <v>1274</v>
      </c>
      <c r="T318" s="1" t="s">
        <v>52</v>
      </c>
      <c r="U318" s="1" t="s">
        <v>53</v>
      </c>
      <c r="V318" s="1" t="s">
        <v>54</v>
      </c>
      <c r="W318" s="1" t="s">
        <v>55</v>
      </c>
      <c r="X318" s="1">
        <v>1</v>
      </c>
      <c r="Y318" s="10" t="s">
        <v>604</v>
      </c>
      <c r="Z318" s="10"/>
      <c r="AA318" s="10"/>
      <c r="AB318" s="10" t="s">
        <v>745</v>
      </c>
      <c r="AC318" s="32" t="s">
        <v>102</v>
      </c>
      <c r="AD318" s="10"/>
      <c r="AE318" s="10"/>
      <c r="AF318" s="10" t="s">
        <v>59</v>
      </c>
      <c r="AG318" s="10"/>
      <c r="AH318" s="10"/>
      <c r="AI318" s="37"/>
      <c r="AJ318" s="37"/>
    </row>
    <row r="319" spans="1:38" ht="14.25" customHeight="1">
      <c r="A319">
        <v>83</v>
      </c>
      <c r="B319" s="1">
        <v>10430406</v>
      </c>
      <c r="C319" s="1" t="s">
        <v>39</v>
      </c>
      <c r="D319" s="1" t="s">
        <v>1311</v>
      </c>
      <c r="E319" s="1" t="s">
        <v>1312</v>
      </c>
      <c r="F319" s="1" t="str">
        <f>D319&amp;" "&amp;E319</f>
        <v>เขมิกา ศิริบาง</v>
      </c>
      <c r="G319" s="1" t="s">
        <v>1313</v>
      </c>
      <c r="H319" s="1" t="s">
        <v>1314</v>
      </c>
      <c r="I319" s="1" t="s">
        <v>1315</v>
      </c>
      <c r="J319" s="1" t="s">
        <v>45</v>
      </c>
      <c r="K319" s="1" t="s">
        <v>1316</v>
      </c>
      <c r="L319" s="1" t="s">
        <v>47</v>
      </c>
      <c r="M319" s="1" t="s">
        <v>48</v>
      </c>
      <c r="N319" s="1" t="s">
        <v>48</v>
      </c>
      <c r="O319" s="1" t="s">
        <v>1317</v>
      </c>
      <c r="P319" s="1" t="s">
        <v>1317</v>
      </c>
      <c r="Q319" s="1">
        <v>10405210</v>
      </c>
      <c r="R319" s="1" t="s">
        <v>1318</v>
      </c>
      <c r="S319" s="3" t="s">
        <v>1274</v>
      </c>
      <c r="T319" s="1" t="s">
        <v>52</v>
      </c>
      <c r="U319" s="1" t="s">
        <v>53</v>
      </c>
      <c r="V319" s="1" t="s">
        <v>54</v>
      </c>
      <c r="W319" s="1" t="s">
        <v>55</v>
      </c>
      <c r="X319" s="1">
        <v>1</v>
      </c>
      <c r="Y319" s="10" t="s">
        <v>604</v>
      </c>
      <c r="Z319" s="10"/>
      <c r="AA319" s="10"/>
      <c r="AB319" s="10" t="s">
        <v>745</v>
      </c>
      <c r="AC319" s="32" t="s">
        <v>102</v>
      </c>
      <c r="AD319" s="10"/>
      <c r="AE319" s="10"/>
      <c r="AF319" s="10" t="s">
        <v>59</v>
      </c>
      <c r="AG319" s="10"/>
      <c r="AH319" s="10"/>
      <c r="AI319" s="37"/>
      <c r="AJ319" s="37"/>
    </row>
    <row r="320" spans="1:38" ht="14.25" customHeight="1">
      <c r="A320">
        <v>193</v>
      </c>
      <c r="B320" s="1">
        <v>10621523</v>
      </c>
      <c r="C320" s="1" t="s">
        <v>39</v>
      </c>
      <c r="D320" s="1" t="s">
        <v>1319</v>
      </c>
      <c r="E320" s="1" t="s">
        <v>1320</v>
      </c>
      <c r="F320" s="1" t="str">
        <f>D320&amp;" "&amp;E320</f>
        <v>ขนิษฐา แนบเนียน</v>
      </c>
      <c r="G320" s="1" t="s">
        <v>1321</v>
      </c>
      <c r="H320" s="1" t="s">
        <v>1322</v>
      </c>
      <c r="I320" s="1">
        <v>10621523</v>
      </c>
      <c r="J320" s="1" t="s">
        <v>45</v>
      </c>
      <c r="K320" s="1" t="s">
        <v>508</v>
      </c>
      <c r="L320" s="1" t="s">
        <v>66</v>
      </c>
      <c r="M320" s="1" t="s">
        <v>48</v>
      </c>
      <c r="N320" s="1" t="s">
        <v>48</v>
      </c>
      <c r="O320" s="1" t="s">
        <v>509</v>
      </c>
      <c r="P320" s="1" t="s">
        <v>509</v>
      </c>
      <c r="Q320" s="1">
        <v>10358560</v>
      </c>
      <c r="R320" s="1" t="s">
        <v>1279</v>
      </c>
      <c r="S320" s="3" t="s">
        <v>1274</v>
      </c>
      <c r="T320" s="1" t="s">
        <v>52</v>
      </c>
      <c r="U320" s="1" t="s">
        <v>53</v>
      </c>
      <c r="V320" s="1" t="s">
        <v>54</v>
      </c>
      <c r="W320" s="1" t="s">
        <v>55</v>
      </c>
      <c r="X320" s="1">
        <v>1</v>
      </c>
      <c r="Y320" s="10" t="s">
        <v>604</v>
      </c>
      <c r="Z320" s="10"/>
      <c r="AA320" s="10"/>
      <c r="AB320" s="10" t="s">
        <v>745</v>
      </c>
      <c r="AC320" s="32" t="s">
        <v>102</v>
      </c>
      <c r="AD320" s="10"/>
      <c r="AE320" s="10"/>
      <c r="AF320" s="10" t="s">
        <v>59</v>
      </c>
      <c r="AG320" s="10"/>
      <c r="AH320" s="10"/>
      <c r="AI320" s="37"/>
      <c r="AJ320" s="37"/>
      <c r="AL320" s="24">
        <v>0.66666666666666663</v>
      </c>
    </row>
    <row r="321" spans="1:39" ht="14.25" customHeight="1">
      <c r="A321">
        <v>412</v>
      </c>
      <c r="B321" s="1">
        <v>10691402</v>
      </c>
      <c r="C321" s="1" t="s">
        <v>92</v>
      </c>
      <c r="D321" s="1" t="s">
        <v>1323</v>
      </c>
      <c r="E321" s="1" t="s">
        <v>1324</v>
      </c>
      <c r="F321" s="1" t="str">
        <f>D321&amp;" "&amp;E321</f>
        <v>กำธร บัวเล็ก</v>
      </c>
      <c r="G321" s="1" t="s">
        <v>1325</v>
      </c>
      <c r="H321" s="1" t="s">
        <v>1326</v>
      </c>
      <c r="I321" s="1">
        <v>10691402</v>
      </c>
      <c r="J321" s="1" t="s">
        <v>45</v>
      </c>
      <c r="K321" s="2">
        <v>46026</v>
      </c>
      <c r="L321" s="1" t="s">
        <v>66</v>
      </c>
      <c r="M321" s="1" t="s">
        <v>48</v>
      </c>
      <c r="N321" s="1" t="s">
        <v>98</v>
      </c>
      <c r="O321" s="1" t="s">
        <v>466</v>
      </c>
      <c r="P321" s="1" t="s">
        <v>100</v>
      </c>
      <c r="Q321" s="1">
        <v>10358539</v>
      </c>
      <c r="R321" s="1" t="s">
        <v>1327</v>
      </c>
      <c r="S321" s="3" t="s">
        <v>1274</v>
      </c>
      <c r="T321" s="1" t="s">
        <v>52</v>
      </c>
      <c r="U321" s="1" t="s">
        <v>53</v>
      </c>
      <c r="V321" s="1" t="s">
        <v>54</v>
      </c>
      <c r="W321" s="1" t="s">
        <v>55</v>
      </c>
      <c r="X321" s="1">
        <v>1</v>
      </c>
      <c r="Y321" s="10" t="s">
        <v>604</v>
      </c>
      <c r="Z321" s="10"/>
      <c r="AA321" s="10"/>
      <c r="AB321" s="10" t="s">
        <v>745</v>
      </c>
      <c r="AC321" s="32" t="s">
        <v>102</v>
      </c>
      <c r="AD321" s="10"/>
      <c r="AE321" s="10"/>
      <c r="AF321" s="10" t="s">
        <v>59</v>
      </c>
      <c r="AG321" s="10"/>
      <c r="AH321" s="10"/>
      <c r="AI321" s="37"/>
      <c r="AJ321" s="37"/>
    </row>
    <row r="322" spans="1:39" ht="14.25" customHeight="1">
      <c r="A322">
        <v>418</v>
      </c>
      <c r="B322" s="1">
        <v>10691687</v>
      </c>
      <c r="C322" s="1" t="s">
        <v>415</v>
      </c>
      <c r="D322" s="1" t="s">
        <v>1328</v>
      </c>
      <c r="E322" s="1" t="s">
        <v>631</v>
      </c>
      <c r="F322" s="1" t="str">
        <f>D322&amp;" "&amp;E322</f>
        <v>KYAW THU SOE -</v>
      </c>
      <c r="G322" s="1" t="s">
        <v>1328</v>
      </c>
      <c r="H322" s="1" t="s">
        <v>631</v>
      </c>
      <c r="I322" s="1">
        <v>10691687</v>
      </c>
      <c r="J322" s="1" t="s">
        <v>45</v>
      </c>
      <c r="K322" s="2">
        <v>46026</v>
      </c>
      <c r="L322" s="1" t="s">
        <v>66</v>
      </c>
      <c r="M322" s="1" t="s">
        <v>48</v>
      </c>
      <c r="N322" s="1" t="s">
        <v>98</v>
      </c>
      <c r="O322" s="1" t="s">
        <v>466</v>
      </c>
      <c r="P322" s="1" t="s">
        <v>100</v>
      </c>
      <c r="Q322" s="1">
        <v>10358534</v>
      </c>
      <c r="R322" s="1" t="s">
        <v>1329</v>
      </c>
      <c r="S322" s="3" t="s">
        <v>1274</v>
      </c>
      <c r="T322" s="1" t="s">
        <v>52</v>
      </c>
      <c r="U322" s="1" t="s">
        <v>53</v>
      </c>
      <c r="V322" s="1" t="s">
        <v>54</v>
      </c>
      <c r="W322" s="1" t="s">
        <v>632</v>
      </c>
      <c r="X322" s="1">
        <v>1</v>
      </c>
      <c r="Y322" s="10" t="s">
        <v>604</v>
      </c>
      <c r="Z322" s="10"/>
      <c r="AA322" s="10"/>
      <c r="AB322" s="10" t="s">
        <v>745</v>
      </c>
      <c r="AC322" s="32" t="s">
        <v>102</v>
      </c>
      <c r="AD322" s="10"/>
      <c r="AE322" s="10"/>
      <c r="AF322" s="10" t="s">
        <v>59</v>
      </c>
      <c r="AG322" s="10"/>
      <c r="AH322" s="10"/>
      <c r="AI322" s="37"/>
      <c r="AJ322" s="37"/>
    </row>
    <row r="323" spans="1:39" ht="14.25" customHeight="1">
      <c r="A323">
        <v>191</v>
      </c>
      <c r="B323" s="1">
        <v>10617739</v>
      </c>
      <c r="C323" s="1" t="s">
        <v>92</v>
      </c>
      <c r="D323" s="1" t="s">
        <v>1330</v>
      </c>
      <c r="E323" s="1" t="s">
        <v>1331</v>
      </c>
      <c r="F323" s="1" t="str">
        <f>D323&amp;" "&amp;E323</f>
        <v>เอนก ดวงรัตน์</v>
      </c>
      <c r="G323" s="1" t="s">
        <v>1332</v>
      </c>
      <c r="H323" s="1" t="s">
        <v>1333</v>
      </c>
      <c r="I323" s="1">
        <v>10617739</v>
      </c>
      <c r="J323" s="1" t="s">
        <v>45</v>
      </c>
      <c r="K323" s="1" t="s">
        <v>1142</v>
      </c>
      <c r="L323" s="1" t="s">
        <v>66</v>
      </c>
      <c r="M323" s="1" t="s">
        <v>48</v>
      </c>
      <c r="N323" s="1" t="s">
        <v>48</v>
      </c>
      <c r="O323" s="2">
        <v>45637</v>
      </c>
      <c r="P323" s="2">
        <v>45637</v>
      </c>
      <c r="Q323" s="1">
        <v>10358541</v>
      </c>
      <c r="R323" s="1" t="s">
        <v>1294</v>
      </c>
      <c r="S323" s="3" t="s">
        <v>1274</v>
      </c>
      <c r="T323" s="1" t="s">
        <v>52</v>
      </c>
      <c r="U323" s="1" t="s">
        <v>53</v>
      </c>
      <c r="V323" s="1" t="s">
        <v>54</v>
      </c>
      <c r="W323" s="1" t="s">
        <v>55</v>
      </c>
      <c r="X323" s="1">
        <v>1</v>
      </c>
      <c r="Y323" s="10" t="s">
        <v>604</v>
      </c>
      <c r="Z323" s="10"/>
      <c r="AA323" s="10"/>
      <c r="AB323" s="10" t="s">
        <v>745</v>
      </c>
      <c r="AC323" s="32" t="s">
        <v>102</v>
      </c>
      <c r="AD323" s="10"/>
      <c r="AE323" s="10"/>
      <c r="AF323" s="10" t="s">
        <v>77</v>
      </c>
      <c r="AG323" s="10"/>
      <c r="AH323" s="10"/>
      <c r="AL323" s="24">
        <v>0.66666666666666663</v>
      </c>
      <c r="AM323" s="24">
        <v>4.1666666666666664E-2</v>
      </c>
    </row>
    <row r="324" spans="1:39" ht="14.25" customHeight="1">
      <c r="A324">
        <v>243</v>
      </c>
      <c r="B324" s="1">
        <v>10656579</v>
      </c>
      <c r="C324" s="1" t="s">
        <v>39</v>
      </c>
      <c r="D324" s="1" t="s">
        <v>1334</v>
      </c>
      <c r="E324" s="1" t="s">
        <v>1335</v>
      </c>
      <c r="F324" s="1" t="str">
        <f>D324&amp;" "&amp;E324</f>
        <v>อุมาพร แจ่มจันทร์</v>
      </c>
      <c r="G324" s="1" t="s">
        <v>1336</v>
      </c>
      <c r="H324" s="1" t="s">
        <v>1337</v>
      </c>
      <c r="I324" s="1">
        <v>10656579</v>
      </c>
      <c r="J324" s="1" t="s">
        <v>45</v>
      </c>
      <c r="K324" s="1" t="s">
        <v>668</v>
      </c>
      <c r="L324" s="1" t="s">
        <v>66</v>
      </c>
      <c r="M324" s="1" t="s">
        <v>48</v>
      </c>
      <c r="N324" s="1" t="s">
        <v>48</v>
      </c>
      <c r="O324" s="1" t="s">
        <v>669</v>
      </c>
      <c r="P324" s="1" t="s">
        <v>669</v>
      </c>
      <c r="Q324" s="1">
        <v>10358562</v>
      </c>
      <c r="R324" s="1" t="s">
        <v>1338</v>
      </c>
      <c r="S324" s="3" t="s">
        <v>1274</v>
      </c>
      <c r="T324" s="1" t="s">
        <v>52</v>
      </c>
      <c r="U324" s="1" t="s">
        <v>53</v>
      </c>
      <c r="V324" s="1" t="s">
        <v>54</v>
      </c>
      <c r="W324" s="1" t="s">
        <v>55</v>
      </c>
      <c r="X324" s="1">
        <v>1</v>
      </c>
      <c r="Y324" s="10" t="s">
        <v>604</v>
      </c>
      <c r="Z324" s="10"/>
      <c r="AA324" s="10"/>
      <c r="AB324" s="10" t="s">
        <v>745</v>
      </c>
      <c r="AC324" s="32" t="s">
        <v>102</v>
      </c>
      <c r="AD324" s="10"/>
      <c r="AE324" s="10"/>
      <c r="AF324" s="10" t="s">
        <v>77</v>
      </c>
      <c r="AG324" s="10"/>
      <c r="AH324" s="10"/>
      <c r="AL324" s="24">
        <v>0.66666666666666663</v>
      </c>
      <c r="AM324" s="24">
        <v>4.1666666666666664E-2</v>
      </c>
    </row>
    <row r="325" spans="1:39" ht="14.25" customHeight="1">
      <c r="A325">
        <v>13</v>
      </c>
      <c r="B325" s="1">
        <v>10296630</v>
      </c>
      <c r="C325" s="1" t="s">
        <v>39</v>
      </c>
      <c r="D325" s="1" t="s">
        <v>1339</v>
      </c>
      <c r="E325" s="1" t="s">
        <v>1340</v>
      </c>
      <c r="F325" s="1" t="str">
        <f>D325&amp;" "&amp;E325</f>
        <v>อ้อยทิพย์ แจ้งสงค์</v>
      </c>
      <c r="G325" s="1" t="s">
        <v>1341</v>
      </c>
      <c r="H325" s="1" t="s">
        <v>1342</v>
      </c>
      <c r="I325" s="1" t="s">
        <v>1343</v>
      </c>
      <c r="J325" s="1" t="s">
        <v>45</v>
      </c>
      <c r="K325" s="1" t="s">
        <v>1344</v>
      </c>
      <c r="L325" s="1" t="s">
        <v>47</v>
      </c>
      <c r="M325" s="1" t="s">
        <v>48</v>
      </c>
      <c r="N325" s="1" t="s">
        <v>48</v>
      </c>
      <c r="O325" s="1" t="s">
        <v>1345</v>
      </c>
      <c r="P325" s="1" t="s">
        <v>1345</v>
      </c>
      <c r="Q325" s="1">
        <v>10405210</v>
      </c>
      <c r="R325" s="1" t="s">
        <v>1318</v>
      </c>
      <c r="S325" s="3" t="s">
        <v>1274</v>
      </c>
      <c r="T325" s="1" t="s">
        <v>52</v>
      </c>
      <c r="U325" s="1" t="s">
        <v>53</v>
      </c>
      <c r="V325" s="1" t="s">
        <v>54</v>
      </c>
      <c r="W325" s="1" t="s">
        <v>55</v>
      </c>
      <c r="X325" s="1">
        <v>1</v>
      </c>
      <c r="Y325" s="10" t="s">
        <v>604</v>
      </c>
      <c r="Z325" s="10"/>
      <c r="AA325" s="10"/>
      <c r="AB325" s="10" t="s">
        <v>745</v>
      </c>
      <c r="AC325" s="32" t="s">
        <v>102</v>
      </c>
      <c r="AD325" s="10"/>
      <c r="AE325" s="10"/>
      <c r="AF325" s="10" t="s">
        <v>77</v>
      </c>
      <c r="AG325" s="10"/>
      <c r="AH325" s="10"/>
      <c r="AL325" s="24">
        <v>0.66666666666666663</v>
      </c>
      <c r="AM325" s="24">
        <v>4.1666666666666664E-2</v>
      </c>
    </row>
    <row r="326" spans="1:39" ht="14.25" customHeight="1">
      <c r="A326">
        <v>211</v>
      </c>
      <c r="B326" s="1">
        <v>10639771</v>
      </c>
      <c r="C326" s="1" t="s">
        <v>39</v>
      </c>
      <c r="D326" s="1" t="s">
        <v>1346</v>
      </c>
      <c r="E326" s="1" t="s">
        <v>1286</v>
      </c>
      <c r="F326" s="1" t="str">
        <f>D326&amp;" "&amp;E326</f>
        <v>อนันตญา โพธิ์ทอง</v>
      </c>
      <c r="G326" s="1" t="s">
        <v>1347</v>
      </c>
      <c r="H326" s="1" t="s">
        <v>1348</v>
      </c>
      <c r="I326" s="1">
        <v>10639771</v>
      </c>
      <c r="J326" s="1" t="s">
        <v>45</v>
      </c>
      <c r="K326" s="2">
        <v>45719</v>
      </c>
      <c r="L326" s="1" t="s">
        <v>66</v>
      </c>
      <c r="M326" s="1" t="s">
        <v>48</v>
      </c>
      <c r="N326" s="1" t="s">
        <v>48</v>
      </c>
      <c r="O326" s="1" t="s">
        <v>1309</v>
      </c>
      <c r="P326" s="1" t="s">
        <v>1309</v>
      </c>
      <c r="Q326" s="1">
        <v>10358528</v>
      </c>
      <c r="R326" s="1" t="s">
        <v>1310</v>
      </c>
      <c r="S326" s="3" t="s">
        <v>1274</v>
      </c>
      <c r="T326" s="1" t="s">
        <v>52</v>
      </c>
      <c r="U326" s="1" t="s">
        <v>53</v>
      </c>
      <c r="V326" s="1" t="s">
        <v>54</v>
      </c>
      <c r="W326" s="1" t="s">
        <v>55</v>
      </c>
      <c r="X326" s="1">
        <v>1</v>
      </c>
      <c r="Y326" s="10" t="s">
        <v>604</v>
      </c>
      <c r="Z326" s="10"/>
      <c r="AA326" s="10"/>
      <c r="AB326" s="10" t="s">
        <v>745</v>
      </c>
      <c r="AC326" s="32" t="s">
        <v>102</v>
      </c>
      <c r="AD326" s="10"/>
      <c r="AE326" s="10"/>
      <c r="AF326" s="10" t="s">
        <v>77</v>
      </c>
      <c r="AG326" s="10"/>
      <c r="AH326" s="10"/>
      <c r="AL326" s="24">
        <v>0.66666666666666663</v>
      </c>
      <c r="AM326" s="24">
        <v>4.1666666666666664E-2</v>
      </c>
    </row>
    <row r="327" spans="1:39" ht="14.25" customHeight="1">
      <c r="A327">
        <v>159</v>
      </c>
      <c r="B327" s="1">
        <v>10576471</v>
      </c>
      <c r="C327" s="1" t="s">
        <v>39</v>
      </c>
      <c r="D327" s="1" t="s">
        <v>1349</v>
      </c>
      <c r="E327" s="1" t="s">
        <v>1350</v>
      </c>
      <c r="F327" s="1" t="str">
        <f>D327&amp;" "&amp;E327</f>
        <v>พรไพลิน ฉายลม</v>
      </c>
      <c r="G327" s="1" t="s">
        <v>1351</v>
      </c>
      <c r="H327" s="1" t="s">
        <v>1352</v>
      </c>
      <c r="I327" s="1">
        <v>10576471</v>
      </c>
      <c r="J327" s="1" t="s">
        <v>45</v>
      </c>
      <c r="K327" s="1" t="s">
        <v>738</v>
      </c>
      <c r="L327" s="1" t="s">
        <v>66</v>
      </c>
      <c r="M327" s="1" t="s">
        <v>48</v>
      </c>
      <c r="N327" s="1" t="s">
        <v>48</v>
      </c>
      <c r="O327" s="1" t="s">
        <v>739</v>
      </c>
      <c r="P327" s="1" t="s">
        <v>739</v>
      </c>
      <c r="Q327" s="1">
        <v>10358562</v>
      </c>
      <c r="R327" s="1" t="s">
        <v>1338</v>
      </c>
      <c r="S327" s="3" t="s">
        <v>1274</v>
      </c>
      <c r="T327" s="1" t="s">
        <v>52</v>
      </c>
      <c r="U327" s="1" t="s">
        <v>53</v>
      </c>
      <c r="V327" s="1" t="s">
        <v>54</v>
      </c>
      <c r="W327" s="1" t="s">
        <v>55</v>
      </c>
      <c r="X327" s="1">
        <v>1</v>
      </c>
      <c r="Y327" s="10" t="s">
        <v>604</v>
      </c>
      <c r="Z327" s="10"/>
      <c r="AA327" s="10"/>
      <c r="AB327" s="10" t="s">
        <v>745</v>
      </c>
      <c r="AC327" s="32" t="s">
        <v>102</v>
      </c>
      <c r="AD327" s="10"/>
      <c r="AE327" s="10"/>
      <c r="AF327" s="10" t="s">
        <v>77</v>
      </c>
      <c r="AG327" s="10"/>
      <c r="AH327" s="10"/>
      <c r="AL327" s="24">
        <v>0.66666666666666663</v>
      </c>
      <c r="AM327" s="24">
        <v>4.1666666666666664E-2</v>
      </c>
    </row>
    <row r="328" spans="1:39" ht="14.25" customHeight="1">
      <c r="A328">
        <v>398</v>
      </c>
      <c r="B328" s="1">
        <v>10688371</v>
      </c>
      <c r="C328" s="1" t="s">
        <v>92</v>
      </c>
      <c r="D328" s="1" t="s">
        <v>233</v>
      </c>
      <c r="E328" s="1" t="s">
        <v>1353</v>
      </c>
      <c r="F328" s="1" t="str">
        <f>D328&amp;" "&amp;E328</f>
        <v>พงศกร สิงห์เสรี</v>
      </c>
      <c r="G328" s="1" t="s">
        <v>1354</v>
      </c>
      <c r="H328" s="1" t="s">
        <v>1355</v>
      </c>
      <c r="I328" s="1">
        <v>10688371</v>
      </c>
      <c r="J328" s="1" t="s">
        <v>45</v>
      </c>
      <c r="K328" s="1" t="s">
        <v>471</v>
      </c>
      <c r="L328" s="1" t="s">
        <v>66</v>
      </c>
      <c r="M328" s="1" t="s">
        <v>48</v>
      </c>
      <c r="N328" s="1" t="s">
        <v>98</v>
      </c>
      <c r="O328" s="1" t="s">
        <v>472</v>
      </c>
      <c r="P328" s="1" t="s">
        <v>100</v>
      </c>
      <c r="Q328" s="1">
        <v>10405180</v>
      </c>
      <c r="R328" s="1" t="s">
        <v>1356</v>
      </c>
      <c r="S328" s="3" t="s">
        <v>1274</v>
      </c>
      <c r="T328" s="1" t="s">
        <v>52</v>
      </c>
      <c r="U328" s="1" t="s">
        <v>53</v>
      </c>
      <c r="V328" s="1" t="s">
        <v>54</v>
      </c>
      <c r="W328" s="1" t="s">
        <v>55</v>
      </c>
      <c r="X328" s="1">
        <v>1</v>
      </c>
      <c r="Y328" s="10" t="s">
        <v>604</v>
      </c>
      <c r="Z328" s="10"/>
      <c r="AA328" s="10"/>
      <c r="AB328" s="10" t="s">
        <v>745</v>
      </c>
      <c r="AC328" s="32" t="s">
        <v>102</v>
      </c>
      <c r="AD328" s="10"/>
      <c r="AE328" s="10"/>
      <c r="AF328" s="10" t="s">
        <v>77</v>
      </c>
      <c r="AG328" s="10"/>
      <c r="AH328" s="10"/>
      <c r="AL328" s="24">
        <v>0.66666666666666663</v>
      </c>
      <c r="AM328" s="24">
        <v>4.1666666666666664E-2</v>
      </c>
    </row>
    <row r="329" spans="1:39" ht="14.25" customHeight="1">
      <c r="A329">
        <v>427</v>
      </c>
      <c r="B329" s="1">
        <v>10691714</v>
      </c>
      <c r="C329" s="1" t="s">
        <v>415</v>
      </c>
      <c r="D329" s="1" t="s">
        <v>1357</v>
      </c>
      <c r="E329" s="1" t="s">
        <v>631</v>
      </c>
      <c r="F329" s="1" t="str">
        <f>D329&amp;" "&amp;E329</f>
        <v>WUNNA THWIN -</v>
      </c>
      <c r="G329" s="1" t="s">
        <v>1357</v>
      </c>
      <c r="H329" s="1" t="s">
        <v>631</v>
      </c>
      <c r="I329" s="1">
        <v>10691714</v>
      </c>
      <c r="J329" s="1" t="s">
        <v>45</v>
      </c>
      <c r="K329" s="2">
        <v>46026</v>
      </c>
      <c r="L329" s="1" t="s">
        <v>66</v>
      </c>
      <c r="M329" s="1" t="s">
        <v>48</v>
      </c>
      <c r="N329" s="1" t="s">
        <v>98</v>
      </c>
      <c r="O329" s="1" t="s">
        <v>466</v>
      </c>
      <c r="P329" s="1" t="s">
        <v>100</v>
      </c>
      <c r="Q329" s="1">
        <v>10358499</v>
      </c>
      <c r="R329" s="1" t="s">
        <v>689</v>
      </c>
      <c r="S329" s="3" t="s">
        <v>1274</v>
      </c>
      <c r="T329" s="1" t="s">
        <v>52</v>
      </c>
      <c r="U329" s="1" t="s">
        <v>53</v>
      </c>
      <c r="V329" s="1" t="s">
        <v>54</v>
      </c>
      <c r="W329" s="1" t="s">
        <v>632</v>
      </c>
      <c r="X329" s="1">
        <v>1</v>
      </c>
      <c r="Y329" s="10" t="s">
        <v>604</v>
      </c>
      <c r="Z329" s="10"/>
      <c r="AA329" s="10"/>
      <c r="AB329" s="10" t="s">
        <v>745</v>
      </c>
      <c r="AC329" s="32" t="s">
        <v>102</v>
      </c>
      <c r="AD329" s="10"/>
      <c r="AE329" s="10"/>
      <c r="AF329" s="10" t="s">
        <v>77</v>
      </c>
      <c r="AG329" s="10"/>
      <c r="AH329" s="10"/>
      <c r="AL329" s="24">
        <v>0.66666666666666663</v>
      </c>
      <c r="AM329" s="24">
        <v>4.1666666666666664E-2</v>
      </c>
    </row>
    <row r="330" spans="1:39" ht="14.25" customHeight="1">
      <c r="A330">
        <v>158</v>
      </c>
      <c r="B330" s="1">
        <v>10575462</v>
      </c>
      <c r="C330" s="1" t="s">
        <v>415</v>
      </c>
      <c r="D330" s="1" t="s">
        <v>1358</v>
      </c>
      <c r="E330" s="1" t="s">
        <v>1359</v>
      </c>
      <c r="F330" s="1" t="str">
        <f>D330&amp;" "&amp;E330</f>
        <v>NAN SARON</v>
      </c>
      <c r="G330" s="1" t="s">
        <v>1358</v>
      </c>
      <c r="H330" s="1" t="s">
        <v>1359</v>
      </c>
      <c r="I330" s="1">
        <v>10575462</v>
      </c>
      <c r="J330" s="1" t="s">
        <v>45</v>
      </c>
      <c r="K330" s="2">
        <v>44937</v>
      </c>
      <c r="L330" s="1" t="s">
        <v>66</v>
      </c>
      <c r="M330" s="1" t="s">
        <v>48</v>
      </c>
      <c r="N330" s="1" t="s">
        <v>48</v>
      </c>
      <c r="O330" s="1" t="s">
        <v>893</v>
      </c>
      <c r="P330" s="1" t="s">
        <v>893</v>
      </c>
      <c r="Q330" s="1">
        <v>10358564</v>
      </c>
      <c r="R330" s="1" t="s">
        <v>1360</v>
      </c>
      <c r="S330" s="3" t="s">
        <v>1274</v>
      </c>
      <c r="T330" s="1" t="s">
        <v>52</v>
      </c>
      <c r="U330" s="1" t="s">
        <v>53</v>
      </c>
      <c r="V330" s="1" t="s">
        <v>54</v>
      </c>
      <c r="W330" s="1" t="s">
        <v>418</v>
      </c>
      <c r="X330" s="1">
        <v>1</v>
      </c>
      <c r="Y330" s="10" t="s">
        <v>604</v>
      </c>
      <c r="Z330" s="10"/>
      <c r="AA330" s="10"/>
      <c r="AB330" s="10" t="s">
        <v>745</v>
      </c>
      <c r="AC330" s="32" t="s">
        <v>102</v>
      </c>
      <c r="AD330" s="10"/>
      <c r="AE330" s="10"/>
      <c r="AF330" s="10" t="s">
        <v>77</v>
      </c>
      <c r="AG330" s="10"/>
      <c r="AH330" s="10"/>
      <c r="AL330" s="24">
        <v>0.66666666666666663</v>
      </c>
      <c r="AM330" s="24">
        <v>4.1666666666666664E-2</v>
      </c>
    </row>
    <row r="331" spans="1:39" ht="14.25" customHeight="1">
      <c r="A331">
        <v>47</v>
      </c>
      <c r="B331" s="1">
        <v>10392163</v>
      </c>
      <c r="C331" s="1" t="s">
        <v>92</v>
      </c>
      <c r="D331" s="1" t="s">
        <v>1361</v>
      </c>
      <c r="E331" s="1" t="s">
        <v>1362</v>
      </c>
      <c r="F331" s="1" t="str">
        <f>D331&amp;" "&amp;E331</f>
        <v>วัยวุฒิ อรกุล</v>
      </c>
      <c r="G331" s="1" t="s">
        <v>1363</v>
      </c>
      <c r="H331" s="1" t="s">
        <v>1364</v>
      </c>
      <c r="I331" s="1" t="s">
        <v>1365</v>
      </c>
      <c r="J331" s="1" t="s">
        <v>45</v>
      </c>
      <c r="K331" s="1" t="s">
        <v>515</v>
      </c>
      <c r="L331" s="1" t="s">
        <v>47</v>
      </c>
      <c r="M331" s="1" t="s">
        <v>48</v>
      </c>
      <c r="N331" s="1" t="s">
        <v>48</v>
      </c>
      <c r="O331" s="1" t="s">
        <v>516</v>
      </c>
      <c r="P331" s="1" t="s">
        <v>516</v>
      </c>
      <c r="Q331" s="1">
        <v>10338054</v>
      </c>
      <c r="R331" s="1" t="s">
        <v>1366</v>
      </c>
      <c r="S331" s="3" t="s">
        <v>1367</v>
      </c>
      <c r="T331" s="1" t="s">
        <v>52</v>
      </c>
      <c r="U331" s="1" t="s">
        <v>53</v>
      </c>
      <c r="V331" s="1" t="s">
        <v>54</v>
      </c>
      <c r="W331" s="1" t="s">
        <v>55</v>
      </c>
      <c r="X331" s="1">
        <v>1</v>
      </c>
      <c r="AA331" s="10"/>
      <c r="AB331" t="s">
        <v>1368</v>
      </c>
      <c r="AF331" s="10" t="s">
        <v>59</v>
      </c>
      <c r="AI331" s="24">
        <v>0.33333333333333331</v>
      </c>
      <c r="AJ331" s="24">
        <v>0.70833333333333337</v>
      </c>
    </row>
    <row r="332" spans="1:39" ht="14.25" customHeight="1">
      <c r="A332">
        <v>62</v>
      </c>
      <c r="B332" s="1">
        <v>10412311</v>
      </c>
      <c r="C332" s="1" t="s">
        <v>92</v>
      </c>
      <c r="D332" s="1" t="s">
        <v>1369</v>
      </c>
      <c r="E332" s="1" t="s">
        <v>1370</v>
      </c>
      <c r="F332" s="1" t="str">
        <f>D332&amp;" "&amp;E332</f>
        <v>เทพรังสรรค์ มั่นคง</v>
      </c>
      <c r="G332" s="1" t="s">
        <v>1371</v>
      </c>
      <c r="H332" s="1" t="s">
        <v>1372</v>
      </c>
      <c r="I332" s="1" t="s">
        <v>1373</v>
      </c>
      <c r="J332" s="1" t="s">
        <v>45</v>
      </c>
      <c r="K332" s="2">
        <v>43872</v>
      </c>
      <c r="L332" s="1" t="s">
        <v>47</v>
      </c>
      <c r="M332" s="1" t="s">
        <v>48</v>
      </c>
      <c r="N332" s="1" t="s">
        <v>48</v>
      </c>
      <c r="O332" s="2">
        <v>44199</v>
      </c>
      <c r="P332" s="2">
        <v>44199</v>
      </c>
      <c r="Q332" s="1">
        <v>10338054</v>
      </c>
      <c r="R332" s="1" t="s">
        <v>1366</v>
      </c>
      <c r="S332" s="3" t="s">
        <v>1367</v>
      </c>
      <c r="T332" s="1" t="s">
        <v>52</v>
      </c>
      <c r="U332" s="1" t="s">
        <v>53</v>
      </c>
      <c r="V332" s="1" t="s">
        <v>54</v>
      </c>
      <c r="W332" s="1" t="s">
        <v>55</v>
      </c>
      <c r="X332" s="1">
        <v>1</v>
      </c>
      <c r="AA332" s="10"/>
      <c r="AB332" t="s">
        <v>1368</v>
      </c>
      <c r="AF332" s="10" t="s">
        <v>59</v>
      </c>
      <c r="AI332" s="24">
        <v>0.33333333333333331</v>
      </c>
      <c r="AJ332" s="24">
        <v>0.70833333333333337</v>
      </c>
    </row>
    <row r="333" spans="1:39" ht="14.25" customHeight="1">
      <c r="A333">
        <v>16</v>
      </c>
      <c r="B333" s="1">
        <v>10320337</v>
      </c>
      <c r="C333" s="1" t="s">
        <v>92</v>
      </c>
      <c r="D333" s="1" t="s">
        <v>1374</v>
      </c>
      <c r="E333" s="1" t="s">
        <v>1375</v>
      </c>
      <c r="F333" s="1" t="str">
        <f>D333&amp;" "&amp;E333</f>
        <v>จักรกริช อิ่นคำ</v>
      </c>
      <c r="G333" s="1" t="s">
        <v>1376</v>
      </c>
      <c r="H333" s="1" t="s">
        <v>1377</v>
      </c>
      <c r="I333" s="1" t="s">
        <v>1378</v>
      </c>
      <c r="J333" s="1" t="s">
        <v>45</v>
      </c>
      <c r="K333" s="2">
        <v>42745</v>
      </c>
      <c r="L333" s="1" t="s">
        <v>47</v>
      </c>
      <c r="M333" s="1" t="s">
        <v>48</v>
      </c>
      <c r="N333" s="1" t="s">
        <v>48</v>
      </c>
      <c r="O333" s="1" t="s">
        <v>1379</v>
      </c>
      <c r="P333" s="1" t="s">
        <v>1379</v>
      </c>
      <c r="Q333" s="1">
        <v>10314153</v>
      </c>
      <c r="R333" s="1" t="s">
        <v>1380</v>
      </c>
      <c r="S333" s="3" t="s">
        <v>1367</v>
      </c>
      <c r="T333" s="1" t="s">
        <v>52</v>
      </c>
      <c r="U333" s="1" t="s">
        <v>53</v>
      </c>
      <c r="V333" s="1" t="s">
        <v>54</v>
      </c>
      <c r="W333" s="1" t="s">
        <v>55</v>
      </c>
      <c r="X333" s="1">
        <v>1</v>
      </c>
      <c r="AA333" s="10"/>
      <c r="AB333" t="s">
        <v>1368</v>
      </c>
      <c r="AF333" s="10" t="s">
        <v>59</v>
      </c>
      <c r="AI333" s="24">
        <v>0.33333333333333331</v>
      </c>
      <c r="AJ333" s="24">
        <v>0.70833333333333337</v>
      </c>
    </row>
    <row r="334" spans="1:39" ht="14.25" customHeight="1">
      <c r="A334">
        <v>122</v>
      </c>
      <c r="B334" s="1">
        <v>10539760</v>
      </c>
      <c r="C334" s="1" t="s">
        <v>39</v>
      </c>
      <c r="D334" s="1" t="s">
        <v>1381</v>
      </c>
      <c r="E334" s="1" t="s">
        <v>1382</v>
      </c>
      <c r="F334" s="1" t="str">
        <f>D334&amp;" "&amp;E334</f>
        <v>สุพัตรา เพียรสมผล</v>
      </c>
      <c r="G334" s="1" t="s">
        <v>1383</v>
      </c>
      <c r="H334" s="1" t="s">
        <v>1384</v>
      </c>
      <c r="I334" s="1">
        <v>10539760</v>
      </c>
      <c r="J334" s="1" t="s">
        <v>45</v>
      </c>
      <c r="K334" s="1" t="s">
        <v>556</v>
      </c>
      <c r="L334" s="1" t="s">
        <v>66</v>
      </c>
      <c r="M334" s="1" t="s">
        <v>48</v>
      </c>
      <c r="N334" s="1" t="s">
        <v>48</v>
      </c>
      <c r="O334" s="1" t="s">
        <v>557</v>
      </c>
      <c r="P334" s="1" t="s">
        <v>557</v>
      </c>
      <c r="Q334" s="1">
        <v>10358615</v>
      </c>
      <c r="R334" s="1" t="s">
        <v>1385</v>
      </c>
      <c r="S334" s="3" t="s">
        <v>1386</v>
      </c>
      <c r="T334" s="1" t="s">
        <v>52</v>
      </c>
      <c r="U334" s="1" t="s">
        <v>53</v>
      </c>
      <c r="V334" s="1" t="s">
        <v>54</v>
      </c>
      <c r="W334" s="1" t="s">
        <v>55</v>
      </c>
      <c r="X334" s="1">
        <v>1</v>
      </c>
      <c r="Y334" t="s">
        <v>1387</v>
      </c>
      <c r="AA334" s="10"/>
      <c r="AB334" s="10" t="s">
        <v>610</v>
      </c>
      <c r="AC334" s="32" t="s">
        <v>102</v>
      </c>
      <c r="AF334" s="10" t="s">
        <v>77</v>
      </c>
    </row>
    <row r="335" spans="1:39" ht="14.25" customHeight="1">
      <c r="A335">
        <v>343</v>
      </c>
      <c r="B335" s="1">
        <v>10675928</v>
      </c>
      <c r="C335" s="1" t="s">
        <v>92</v>
      </c>
      <c r="D335" s="1" t="s">
        <v>1388</v>
      </c>
      <c r="E335" s="1" t="s">
        <v>1389</v>
      </c>
      <c r="F335" s="1" t="str">
        <f>D335&amp;" "&amp;E335</f>
        <v>สังเวียน ทองไพบูลย์</v>
      </c>
      <c r="G335" s="1" t="s">
        <v>1390</v>
      </c>
      <c r="H335" s="1" t="s">
        <v>1391</v>
      </c>
      <c r="I335" s="1">
        <v>10675928</v>
      </c>
      <c r="J335" s="1" t="s">
        <v>45</v>
      </c>
      <c r="K335" s="1" t="s">
        <v>860</v>
      </c>
      <c r="L335" s="1" t="s">
        <v>66</v>
      </c>
      <c r="M335" s="1" t="s">
        <v>48</v>
      </c>
      <c r="N335" s="1" t="s">
        <v>48</v>
      </c>
      <c r="O335" s="1" t="s">
        <v>861</v>
      </c>
      <c r="P335" s="1" t="s">
        <v>861</v>
      </c>
      <c r="Q335" s="1">
        <v>10358571</v>
      </c>
      <c r="R335" s="1" t="s">
        <v>1392</v>
      </c>
      <c r="S335" s="3" t="s">
        <v>1386</v>
      </c>
      <c r="T335" s="1" t="s">
        <v>52</v>
      </c>
      <c r="U335" s="1" t="s">
        <v>53</v>
      </c>
      <c r="V335" s="1" t="s">
        <v>54</v>
      </c>
      <c r="W335" s="1" t="s">
        <v>55</v>
      </c>
      <c r="X335" s="1">
        <v>1</v>
      </c>
      <c r="Y335" t="s">
        <v>1387</v>
      </c>
      <c r="AA335" s="10"/>
      <c r="AB335" s="10" t="s">
        <v>934</v>
      </c>
      <c r="AC335" s="32" t="s">
        <v>69</v>
      </c>
      <c r="AI335" s="24">
        <v>0.33333333333333331</v>
      </c>
      <c r="AJ335" s="24">
        <v>0.70833333333333337</v>
      </c>
    </row>
    <row r="336" spans="1:39" ht="14.25" customHeight="1">
      <c r="A336">
        <v>270</v>
      </c>
      <c r="B336" s="1">
        <v>10659529</v>
      </c>
      <c r="C336" s="1" t="s">
        <v>92</v>
      </c>
      <c r="D336" s="1" t="s">
        <v>1393</v>
      </c>
      <c r="E336" s="1" t="s">
        <v>1394</v>
      </c>
      <c r="F336" s="1" t="str">
        <f>D336&amp;" "&amp;E336</f>
        <v>ศิรศักดิ์ ฟักเขียว</v>
      </c>
      <c r="G336" s="1" t="s">
        <v>1395</v>
      </c>
      <c r="H336" s="1" t="s">
        <v>1396</v>
      </c>
      <c r="I336" s="1">
        <v>10659529</v>
      </c>
      <c r="J336" s="1" t="s">
        <v>45</v>
      </c>
      <c r="K336" s="2">
        <v>45877</v>
      </c>
      <c r="L336" s="1" t="s">
        <v>66</v>
      </c>
      <c r="M336" s="1" t="s">
        <v>48</v>
      </c>
      <c r="N336" s="1" t="s">
        <v>48</v>
      </c>
      <c r="O336" s="2">
        <v>45789</v>
      </c>
      <c r="P336" s="2">
        <v>45789</v>
      </c>
      <c r="Q336" s="1">
        <v>10358571</v>
      </c>
      <c r="R336" s="1" t="s">
        <v>1392</v>
      </c>
      <c r="S336" s="3" t="s">
        <v>1386</v>
      </c>
      <c r="T336" s="1" t="s">
        <v>52</v>
      </c>
      <c r="U336" s="1" t="s">
        <v>53</v>
      </c>
      <c r="V336" s="1" t="s">
        <v>54</v>
      </c>
      <c r="W336" s="1" t="s">
        <v>55</v>
      </c>
      <c r="X336" s="1">
        <v>1</v>
      </c>
      <c r="Y336" t="s">
        <v>1387</v>
      </c>
      <c r="AA336" s="10"/>
      <c r="AB336" s="10" t="s">
        <v>934</v>
      </c>
      <c r="AC336" s="32" t="s">
        <v>91</v>
      </c>
      <c r="AI336" s="24">
        <v>0.33333333333333331</v>
      </c>
      <c r="AJ336" s="24">
        <v>0.70833333333333337</v>
      </c>
    </row>
    <row r="337" spans="1:36" ht="14.25" customHeight="1">
      <c r="A337">
        <v>181</v>
      </c>
      <c r="B337" s="1">
        <v>10606791</v>
      </c>
      <c r="C337" s="1" t="s">
        <v>39</v>
      </c>
      <c r="D337" s="1" t="s">
        <v>1397</v>
      </c>
      <c r="E337" s="1" t="s">
        <v>1398</v>
      </c>
      <c r="F337" s="1" t="str">
        <f>D337&amp;" "&amp;E337</f>
        <v>ศรีสุดาพร โพธิ์นอก</v>
      </c>
      <c r="G337" s="1" t="s">
        <v>1399</v>
      </c>
      <c r="H337" s="1" t="s">
        <v>1400</v>
      </c>
      <c r="I337" s="1">
        <v>10606791</v>
      </c>
      <c r="J337" s="1" t="s">
        <v>45</v>
      </c>
      <c r="K337" s="2">
        <v>45327</v>
      </c>
      <c r="L337" s="1" t="s">
        <v>66</v>
      </c>
      <c r="M337" s="1" t="s">
        <v>48</v>
      </c>
      <c r="N337" s="1" t="s">
        <v>48</v>
      </c>
      <c r="O337" s="1" t="s">
        <v>232</v>
      </c>
      <c r="P337" s="1" t="s">
        <v>232</v>
      </c>
      <c r="Q337" s="1">
        <v>10405188</v>
      </c>
      <c r="R337" s="1" t="s">
        <v>1401</v>
      </c>
      <c r="S337" s="3" t="s">
        <v>1386</v>
      </c>
      <c r="T337" s="1" t="s">
        <v>52</v>
      </c>
      <c r="U337" s="1" t="s">
        <v>53</v>
      </c>
      <c r="V337" s="1" t="s">
        <v>54</v>
      </c>
      <c r="W337" s="1" t="s">
        <v>55</v>
      </c>
      <c r="X337" s="1">
        <v>1</v>
      </c>
      <c r="Y337" t="s">
        <v>1387</v>
      </c>
      <c r="AA337" s="10"/>
      <c r="AB337" s="10" t="s">
        <v>934</v>
      </c>
      <c r="AC337" s="32" t="s">
        <v>69</v>
      </c>
      <c r="AI337" s="24">
        <v>0.33333333333333331</v>
      </c>
      <c r="AJ337" s="24">
        <v>0.70833333333333337</v>
      </c>
    </row>
    <row r="338" spans="1:36" ht="14.25" customHeight="1">
      <c r="A338">
        <v>30</v>
      </c>
      <c r="B338" s="1">
        <v>10357224</v>
      </c>
      <c r="C338" s="1" t="s">
        <v>39</v>
      </c>
      <c r="D338" s="1" t="s">
        <v>1402</v>
      </c>
      <c r="E338" s="1" t="s">
        <v>624</v>
      </c>
      <c r="F338" s="1" t="str">
        <f>D338&amp;" "&amp;E338</f>
        <v>วิลาวรรณ คัมภิรานนท์</v>
      </c>
      <c r="G338" s="1" t="s">
        <v>1403</v>
      </c>
      <c r="H338" s="1" t="s">
        <v>1404</v>
      </c>
      <c r="I338" s="1" t="s">
        <v>1405</v>
      </c>
      <c r="J338" s="1" t="s">
        <v>45</v>
      </c>
      <c r="K338" s="2">
        <v>43112</v>
      </c>
      <c r="L338" s="1" t="s">
        <v>47</v>
      </c>
      <c r="M338" s="1" t="s">
        <v>48</v>
      </c>
      <c r="N338" s="1" t="s">
        <v>48</v>
      </c>
      <c r="O338" s="1" t="s">
        <v>1406</v>
      </c>
      <c r="P338" s="1" t="s">
        <v>1406</v>
      </c>
      <c r="Q338" s="1">
        <v>10358633</v>
      </c>
      <c r="R338" s="1" t="s">
        <v>1407</v>
      </c>
      <c r="S338" s="3" t="s">
        <v>1386</v>
      </c>
      <c r="T338" s="1" t="s">
        <v>52</v>
      </c>
      <c r="U338" s="1" t="s">
        <v>53</v>
      </c>
      <c r="V338" s="1" t="s">
        <v>54</v>
      </c>
      <c r="W338" s="1" t="s">
        <v>55</v>
      </c>
      <c r="X338" s="1">
        <v>1</v>
      </c>
      <c r="Y338" t="s">
        <v>1387</v>
      </c>
      <c r="AA338" s="10"/>
      <c r="AB338" s="10" t="s">
        <v>934</v>
      </c>
      <c r="AC338" s="32" t="s">
        <v>91</v>
      </c>
      <c r="AI338" s="24">
        <v>0.33333333333333331</v>
      </c>
      <c r="AJ338" s="24">
        <v>0.70833333333333337</v>
      </c>
    </row>
    <row r="339" spans="1:36" ht="14.25" customHeight="1">
      <c r="A339">
        <v>90</v>
      </c>
      <c r="B339" s="1">
        <v>10500467</v>
      </c>
      <c r="C339" s="1" t="s">
        <v>92</v>
      </c>
      <c r="D339" s="1" t="s">
        <v>1408</v>
      </c>
      <c r="E339" s="1" t="s">
        <v>1409</v>
      </c>
      <c r="F339" s="1" t="str">
        <f>D339&amp;" "&amp;E339</f>
        <v>วรรณพงษ์ สุนทรนันท์</v>
      </c>
      <c r="G339" s="1" t="s">
        <v>1410</v>
      </c>
      <c r="H339" s="1" t="s">
        <v>1411</v>
      </c>
      <c r="I339" s="1">
        <v>10500467</v>
      </c>
      <c r="J339" s="1" t="s">
        <v>45</v>
      </c>
      <c r="K339" s="2">
        <v>44450</v>
      </c>
      <c r="L339" s="1" t="s">
        <v>66</v>
      </c>
      <c r="M339" s="1" t="s">
        <v>48</v>
      </c>
      <c r="N339" s="1" t="s">
        <v>48</v>
      </c>
      <c r="O339" s="2">
        <v>44776</v>
      </c>
      <c r="P339" s="2">
        <v>44776</v>
      </c>
      <c r="Q339" s="1">
        <v>10405188</v>
      </c>
      <c r="R339" s="1" t="s">
        <v>1401</v>
      </c>
      <c r="S339" s="3" t="s">
        <v>1386</v>
      </c>
      <c r="T339" s="1" t="s">
        <v>52</v>
      </c>
      <c r="U339" s="1" t="s">
        <v>53</v>
      </c>
      <c r="V339" s="1" t="s">
        <v>54</v>
      </c>
      <c r="W339" s="1" t="s">
        <v>55</v>
      </c>
      <c r="X339" s="1">
        <v>1</v>
      </c>
      <c r="Y339" t="s">
        <v>1387</v>
      </c>
      <c r="AA339" s="10"/>
      <c r="AB339" s="10" t="s">
        <v>934</v>
      </c>
      <c r="AC339" s="32" t="s">
        <v>138</v>
      </c>
      <c r="AI339" s="24">
        <v>0.33333333333333331</v>
      </c>
      <c r="AJ339" s="24">
        <v>0.70833333333333337</v>
      </c>
    </row>
    <row r="340" spans="1:36" ht="14.25" customHeight="1">
      <c r="A340">
        <v>357</v>
      </c>
      <c r="B340" s="1">
        <v>10680424</v>
      </c>
      <c r="C340" s="1" t="s">
        <v>92</v>
      </c>
      <c r="D340" s="1" t="s">
        <v>285</v>
      </c>
      <c r="E340" s="1" t="s">
        <v>1412</v>
      </c>
      <c r="F340" s="1" t="str">
        <f>D340&amp;" "&amp;E340</f>
        <v>มนตรี คงนิ่ม</v>
      </c>
      <c r="G340" s="1" t="s">
        <v>286</v>
      </c>
      <c r="H340" s="1" t="s">
        <v>1413</v>
      </c>
      <c r="I340" s="1">
        <v>10680424</v>
      </c>
      <c r="J340" s="1" t="s">
        <v>45</v>
      </c>
      <c r="K340" s="1" t="s">
        <v>97</v>
      </c>
      <c r="L340" s="1" t="s">
        <v>66</v>
      </c>
      <c r="M340" s="1" t="s">
        <v>48</v>
      </c>
      <c r="N340" s="1" t="s">
        <v>98</v>
      </c>
      <c r="O340" s="1" t="s">
        <v>99</v>
      </c>
      <c r="P340" s="1" t="s">
        <v>100</v>
      </c>
      <c r="Q340" s="1">
        <v>10358571</v>
      </c>
      <c r="R340" s="1" t="s">
        <v>1392</v>
      </c>
      <c r="S340" s="3" t="s">
        <v>1386</v>
      </c>
      <c r="T340" s="1" t="s">
        <v>52</v>
      </c>
      <c r="U340" s="1" t="s">
        <v>53</v>
      </c>
      <c r="V340" s="1" t="s">
        <v>54</v>
      </c>
      <c r="W340" s="1" t="s">
        <v>55</v>
      </c>
      <c r="X340" s="1">
        <v>1</v>
      </c>
      <c r="Y340" t="s">
        <v>1387</v>
      </c>
      <c r="AA340" s="10"/>
      <c r="AB340" s="10" t="s">
        <v>934</v>
      </c>
      <c r="AC340" s="32" t="s">
        <v>91</v>
      </c>
      <c r="AI340" s="24">
        <v>0.33333333333333331</v>
      </c>
      <c r="AJ340" s="24">
        <v>0.70833333333333337</v>
      </c>
    </row>
    <row r="341" spans="1:36" ht="14.25" customHeight="1">
      <c r="A341">
        <v>101</v>
      </c>
      <c r="B341" s="1">
        <v>10510242</v>
      </c>
      <c r="C341" s="1" t="s">
        <v>92</v>
      </c>
      <c r="D341" s="1" t="s">
        <v>1414</v>
      </c>
      <c r="E341" s="1" t="s">
        <v>1415</v>
      </c>
      <c r="F341" s="1" t="str">
        <f>D341&amp;" "&amp;E341</f>
        <v>ภานุวัฒน์ กำศร</v>
      </c>
      <c r="G341" s="1" t="s">
        <v>1416</v>
      </c>
      <c r="H341" s="1" t="s">
        <v>1417</v>
      </c>
      <c r="I341" s="1">
        <v>10510242</v>
      </c>
      <c r="J341" s="1" t="s">
        <v>45</v>
      </c>
      <c r="K341" s="2">
        <v>44564</v>
      </c>
      <c r="L341" s="1" t="s">
        <v>66</v>
      </c>
      <c r="M341" s="1" t="s">
        <v>48</v>
      </c>
      <c r="N341" s="1" t="s">
        <v>48</v>
      </c>
      <c r="O341" s="1" t="s">
        <v>1418</v>
      </c>
      <c r="P341" s="1" t="s">
        <v>1418</v>
      </c>
      <c r="Q341" s="1">
        <v>10358571</v>
      </c>
      <c r="R341" s="1" t="s">
        <v>1392</v>
      </c>
      <c r="S341" s="3" t="s">
        <v>1386</v>
      </c>
      <c r="T341" s="1" t="s">
        <v>52</v>
      </c>
      <c r="U341" s="1" t="s">
        <v>53</v>
      </c>
      <c r="V341" s="1" t="s">
        <v>54</v>
      </c>
      <c r="W341" s="1" t="s">
        <v>55</v>
      </c>
      <c r="X341" s="1">
        <v>1</v>
      </c>
      <c r="Y341" t="s">
        <v>1387</v>
      </c>
      <c r="AA341" s="10"/>
      <c r="AB341" s="10" t="s">
        <v>934</v>
      </c>
      <c r="AC341" s="32" t="s">
        <v>84</v>
      </c>
      <c r="AI341" s="24">
        <v>0.33333333333333331</v>
      </c>
      <c r="AJ341" s="24">
        <v>0.70833333333333337</v>
      </c>
    </row>
    <row r="342" spans="1:36" ht="14.25" customHeight="1">
      <c r="A342">
        <v>61</v>
      </c>
      <c r="B342" s="1">
        <v>10410604</v>
      </c>
      <c r="C342" s="1" t="s">
        <v>92</v>
      </c>
      <c r="D342" s="1" t="s">
        <v>1419</v>
      </c>
      <c r="E342" s="1" t="s">
        <v>1420</v>
      </c>
      <c r="F342" s="1" t="str">
        <f>D342&amp;" "&amp;E342</f>
        <v>ธีระพงษ์ เป็งหมู</v>
      </c>
      <c r="G342" s="1" t="s">
        <v>1421</v>
      </c>
      <c r="H342" s="1" t="s">
        <v>1422</v>
      </c>
      <c r="I342" s="1">
        <v>10410604</v>
      </c>
      <c r="J342" s="1" t="s">
        <v>45</v>
      </c>
      <c r="K342" s="2">
        <v>44175</v>
      </c>
      <c r="L342" s="1" t="s">
        <v>66</v>
      </c>
      <c r="M342" s="1" t="s">
        <v>48</v>
      </c>
      <c r="N342" s="1" t="s">
        <v>48</v>
      </c>
      <c r="O342" s="2">
        <v>44410</v>
      </c>
      <c r="P342" s="2">
        <v>44410</v>
      </c>
      <c r="Q342" s="1">
        <v>10358571</v>
      </c>
      <c r="R342" s="1" t="s">
        <v>1392</v>
      </c>
      <c r="S342" s="3" t="s">
        <v>1386</v>
      </c>
      <c r="T342" s="1" t="s">
        <v>52</v>
      </c>
      <c r="U342" s="1" t="s">
        <v>53</v>
      </c>
      <c r="V342" s="1" t="s">
        <v>54</v>
      </c>
      <c r="W342" s="1" t="s">
        <v>55</v>
      </c>
      <c r="X342" s="1">
        <v>1</v>
      </c>
      <c r="Y342" t="s">
        <v>1387</v>
      </c>
      <c r="AA342" s="10"/>
      <c r="AB342" s="10" t="s">
        <v>934</v>
      </c>
      <c r="AC342" s="32" t="s">
        <v>58</v>
      </c>
      <c r="AI342" s="24">
        <v>0.33333333333333331</v>
      </c>
      <c r="AJ342" s="24">
        <v>0.70833333333333337</v>
      </c>
    </row>
    <row r="343" spans="1:36" ht="14.25" customHeight="1">
      <c r="A343">
        <v>358</v>
      </c>
      <c r="B343" s="1">
        <v>10680434</v>
      </c>
      <c r="C343" s="1" t="s">
        <v>92</v>
      </c>
      <c r="D343" s="1" t="s">
        <v>1423</v>
      </c>
      <c r="E343" s="1" t="s">
        <v>198</v>
      </c>
      <c r="F343" s="1" t="str">
        <f>D343&amp;" "&amp;E343</f>
        <v>ธนพล เมืองสวัสดิ์</v>
      </c>
      <c r="G343" s="1" t="s">
        <v>1424</v>
      </c>
      <c r="H343" s="1" t="s">
        <v>1425</v>
      </c>
      <c r="I343" s="1">
        <v>10680434</v>
      </c>
      <c r="J343" s="1" t="s">
        <v>45</v>
      </c>
      <c r="K343" s="1" t="s">
        <v>97</v>
      </c>
      <c r="L343" s="1" t="s">
        <v>66</v>
      </c>
      <c r="M343" s="1" t="s">
        <v>48</v>
      </c>
      <c r="N343" s="1" t="s">
        <v>98</v>
      </c>
      <c r="O343" s="1" t="s">
        <v>99</v>
      </c>
      <c r="P343" s="1" t="s">
        <v>100</v>
      </c>
      <c r="Q343" s="1">
        <v>10358571</v>
      </c>
      <c r="R343" s="1" t="s">
        <v>1392</v>
      </c>
      <c r="S343" s="3" t="s">
        <v>1386</v>
      </c>
      <c r="T343" s="1" t="s">
        <v>52</v>
      </c>
      <c r="U343" s="1" t="s">
        <v>53</v>
      </c>
      <c r="V343" s="1" t="s">
        <v>54</v>
      </c>
      <c r="W343" s="1" t="s">
        <v>55</v>
      </c>
      <c r="X343" s="1">
        <v>1</v>
      </c>
      <c r="Y343" t="s">
        <v>1387</v>
      </c>
      <c r="AA343" s="10"/>
      <c r="AB343" s="10" t="s">
        <v>934</v>
      </c>
      <c r="AC343" s="32" t="s">
        <v>212</v>
      </c>
      <c r="AI343" s="24">
        <v>0.33333333333333331</v>
      </c>
      <c r="AJ343" s="24">
        <v>0.70833333333333337</v>
      </c>
    </row>
    <row r="344" spans="1:36" ht="13.9" customHeight="1">
      <c r="A344">
        <v>151</v>
      </c>
      <c r="B344" s="1">
        <v>10572343</v>
      </c>
      <c r="C344" s="1" t="s">
        <v>92</v>
      </c>
      <c r="D344" s="1" t="s">
        <v>1426</v>
      </c>
      <c r="E344" s="1" t="s">
        <v>1427</v>
      </c>
      <c r="F344" s="1" t="str">
        <f>D344&amp;" "&amp;E344</f>
        <v>จักรี บุ้งจันทร์</v>
      </c>
      <c r="G344" s="1" t="s">
        <v>1428</v>
      </c>
      <c r="H344" s="1" t="s">
        <v>1429</v>
      </c>
      <c r="I344" s="1">
        <v>10572343</v>
      </c>
      <c r="J344" s="1" t="s">
        <v>45</v>
      </c>
      <c r="K344" s="2">
        <v>44967</v>
      </c>
      <c r="L344" s="1" t="s">
        <v>66</v>
      </c>
      <c r="M344" s="1" t="s">
        <v>48</v>
      </c>
      <c r="N344" s="1" t="s">
        <v>48</v>
      </c>
      <c r="O344" s="1" t="s">
        <v>1430</v>
      </c>
      <c r="P344" s="1" t="s">
        <v>1430</v>
      </c>
      <c r="Q344" s="1">
        <v>10358571</v>
      </c>
      <c r="R344" s="1" t="s">
        <v>1392</v>
      </c>
      <c r="S344" s="3" t="s">
        <v>1386</v>
      </c>
      <c r="T344" s="1" t="s">
        <v>52</v>
      </c>
      <c r="U344" s="1" t="s">
        <v>53</v>
      </c>
      <c r="V344" s="1" t="s">
        <v>54</v>
      </c>
      <c r="W344" s="1" t="s">
        <v>55</v>
      </c>
      <c r="X344" s="1">
        <v>1</v>
      </c>
      <c r="Y344" t="s">
        <v>1387</v>
      </c>
      <c r="AA344" s="10"/>
      <c r="AB344" s="10" t="s">
        <v>934</v>
      </c>
      <c r="AC344" s="32" t="s">
        <v>212</v>
      </c>
      <c r="AI344" s="24">
        <v>0.33333333333333331</v>
      </c>
      <c r="AJ344" s="24">
        <v>0.70833333333333337</v>
      </c>
    </row>
    <row r="345" spans="1:36" ht="14.25" customHeight="1">
      <c r="A345">
        <v>269</v>
      </c>
      <c r="B345" s="1">
        <v>10659516</v>
      </c>
      <c r="C345" s="1" t="s">
        <v>92</v>
      </c>
      <c r="D345" s="1" t="s">
        <v>246</v>
      </c>
      <c r="E345" s="1" t="s">
        <v>1431</v>
      </c>
      <c r="F345" s="1" t="str">
        <f>D345&amp;" "&amp;E345</f>
        <v>จักรพงษ์ วงศ์สวรรค์</v>
      </c>
      <c r="G345" s="1" t="s">
        <v>1432</v>
      </c>
      <c r="H345" s="1" t="s">
        <v>1433</v>
      </c>
      <c r="I345" s="1">
        <v>10659516</v>
      </c>
      <c r="J345" s="1" t="s">
        <v>45</v>
      </c>
      <c r="K345" s="2">
        <v>45877</v>
      </c>
      <c r="L345" s="1" t="s">
        <v>66</v>
      </c>
      <c r="M345" s="1" t="s">
        <v>48</v>
      </c>
      <c r="N345" s="1" t="s">
        <v>48</v>
      </c>
      <c r="O345" s="2">
        <v>45789</v>
      </c>
      <c r="P345" s="2">
        <v>45789</v>
      </c>
      <c r="Q345" s="1">
        <v>10358571</v>
      </c>
      <c r="R345" s="1" t="s">
        <v>1392</v>
      </c>
      <c r="S345" s="3" t="s">
        <v>1386</v>
      </c>
      <c r="T345" s="1" t="s">
        <v>52</v>
      </c>
      <c r="U345" s="1" t="s">
        <v>53</v>
      </c>
      <c r="V345" s="1" t="s">
        <v>54</v>
      </c>
      <c r="W345" s="1" t="s">
        <v>55</v>
      </c>
      <c r="X345" s="1">
        <v>1</v>
      </c>
      <c r="Y345" t="s">
        <v>1387</v>
      </c>
      <c r="AA345" s="10"/>
      <c r="AB345" s="10" t="s">
        <v>934</v>
      </c>
      <c r="AC345" s="32" t="s">
        <v>84</v>
      </c>
      <c r="AI345" s="24">
        <v>0.33333333333333331</v>
      </c>
      <c r="AJ345" s="24">
        <v>0.70833333333333337</v>
      </c>
    </row>
    <row r="346" spans="1:36" ht="14.25" customHeight="1">
      <c r="A346">
        <v>359</v>
      </c>
      <c r="B346" s="1">
        <v>10680448</v>
      </c>
      <c r="C346" s="1" t="s">
        <v>92</v>
      </c>
      <c r="D346" s="1" t="s">
        <v>1434</v>
      </c>
      <c r="E346" s="1" t="s">
        <v>1435</v>
      </c>
      <c r="F346" s="1" t="str">
        <f>D346&amp;" "&amp;E346</f>
        <v>ก้องภพ แดงอิ่ม</v>
      </c>
      <c r="G346" s="1" t="s">
        <v>1436</v>
      </c>
      <c r="H346" s="1" t="s">
        <v>1437</v>
      </c>
      <c r="I346" s="1">
        <v>10680448</v>
      </c>
      <c r="J346" s="1" t="s">
        <v>45</v>
      </c>
      <c r="K346" s="1" t="s">
        <v>97</v>
      </c>
      <c r="L346" s="1" t="s">
        <v>66</v>
      </c>
      <c r="M346" s="1" t="s">
        <v>48</v>
      </c>
      <c r="N346" s="1" t="s">
        <v>98</v>
      </c>
      <c r="O346" s="1" t="s">
        <v>99</v>
      </c>
      <c r="P346" s="1" t="s">
        <v>100</v>
      </c>
      <c r="Q346" s="1">
        <v>10358571</v>
      </c>
      <c r="R346" s="1" t="s">
        <v>1392</v>
      </c>
      <c r="S346" s="3" t="s">
        <v>1386</v>
      </c>
      <c r="T346" s="1" t="s">
        <v>52</v>
      </c>
      <c r="U346" s="1" t="s">
        <v>53</v>
      </c>
      <c r="V346" s="1" t="s">
        <v>54</v>
      </c>
      <c r="W346" s="1" t="s">
        <v>55</v>
      </c>
      <c r="X346" s="1">
        <v>1</v>
      </c>
      <c r="Y346" t="s">
        <v>1387</v>
      </c>
      <c r="AA346" s="10"/>
      <c r="AB346" s="10" t="s">
        <v>934</v>
      </c>
      <c r="AC346" s="32" t="s">
        <v>84</v>
      </c>
      <c r="AI346" s="24">
        <v>0.33333333333333331</v>
      </c>
      <c r="AJ346" s="24">
        <v>0.70833333333333337</v>
      </c>
    </row>
    <row r="347" spans="1:36" ht="14.25" customHeight="1">
      <c r="A347">
        <v>331</v>
      </c>
      <c r="B347" s="1">
        <v>10668237</v>
      </c>
      <c r="C347" s="1" t="s">
        <v>415</v>
      </c>
      <c r="D347" s="1" t="s">
        <v>1438</v>
      </c>
      <c r="E347" s="1" t="s">
        <v>631</v>
      </c>
      <c r="F347" s="1" t="str">
        <f>D347&amp;" "&amp;E347</f>
        <v>TUN NANDA -</v>
      </c>
      <c r="G347" s="1" t="s">
        <v>1438</v>
      </c>
      <c r="H347" s="1" t="s">
        <v>631</v>
      </c>
      <c r="I347" s="1">
        <v>10668237</v>
      </c>
      <c r="J347" s="1" t="s">
        <v>45</v>
      </c>
      <c r="K347" s="2">
        <v>45667</v>
      </c>
      <c r="L347" s="1" t="s">
        <v>66</v>
      </c>
      <c r="M347" s="1" t="s">
        <v>48</v>
      </c>
      <c r="N347" s="1" t="s">
        <v>48</v>
      </c>
      <c r="O347" s="1" t="s">
        <v>936</v>
      </c>
      <c r="P347" s="1" t="s">
        <v>936</v>
      </c>
      <c r="Q347" s="1">
        <v>10358568</v>
      </c>
      <c r="R347" s="1" t="s">
        <v>1439</v>
      </c>
      <c r="S347" s="3" t="s">
        <v>1386</v>
      </c>
      <c r="T347" s="1" t="s">
        <v>52</v>
      </c>
      <c r="U347" s="1" t="s">
        <v>53</v>
      </c>
      <c r="V347" s="1" t="s">
        <v>54</v>
      </c>
      <c r="W347" s="1" t="s">
        <v>632</v>
      </c>
      <c r="X347" s="1">
        <v>1</v>
      </c>
      <c r="Y347" t="s">
        <v>1387</v>
      </c>
      <c r="AA347" s="10"/>
      <c r="AB347" s="10" t="s">
        <v>934</v>
      </c>
      <c r="AC347" s="32" t="s">
        <v>58</v>
      </c>
      <c r="AI347" s="24">
        <v>0.33333333333333331</v>
      </c>
      <c r="AJ347" s="24">
        <v>0.70833333333333337</v>
      </c>
    </row>
    <row r="348" spans="1:36" ht="14.25" customHeight="1">
      <c r="A348">
        <v>314</v>
      </c>
      <c r="B348" s="1">
        <v>10667006</v>
      </c>
      <c r="C348" s="1" t="s">
        <v>415</v>
      </c>
      <c r="D348" s="1" t="s">
        <v>1440</v>
      </c>
      <c r="E348" s="1" t="s">
        <v>631</v>
      </c>
      <c r="F348" s="1" t="str">
        <f>D348&amp;" "&amp;E348</f>
        <v>THUYA LIN -</v>
      </c>
      <c r="G348" s="1" t="s">
        <v>1440</v>
      </c>
      <c r="H348" s="1" t="s">
        <v>631</v>
      </c>
      <c r="I348" s="1">
        <v>10667006</v>
      </c>
      <c r="J348" s="1" t="s">
        <v>45</v>
      </c>
      <c r="K348" s="1" t="s">
        <v>877</v>
      </c>
      <c r="L348" s="1" t="s">
        <v>66</v>
      </c>
      <c r="M348" s="1" t="s">
        <v>48</v>
      </c>
      <c r="N348" s="1" t="s">
        <v>48</v>
      </c>
      <c r="O348" s="1" t="s">
        <v>878</v>
      </c>
      <c r="P348" s="1" t="s">
        <v>878</v>
      </c>
      <c r="Q348" s="1">
        <v>10405187</v>
      </c>
      <c r="R348" s="1" t="s">
        <v>1441</v>
      </c>
      <c r="S348" s="3" t="s">
        <v>1386</v>
      </c>
      <c r="T348" s="1" t="s">
        <v>52</v>
      </c>
      <c r="U348" s="1" t="s">
        <v>53</v>
      </c>
      <c r="V348" s="1" t="s">
        <v>54</v>
      </c>
      <c r="W348" s="1" t="s">
        <v>632</v>
      </c>
      <c r="X348" s="1">
        <v>1</v>
      </c>
      <c r="Y348" t="s">
        <v>1387</v>
      </c>
      <c r="AA348" s="10"/>
      <c r="AB348" s="10" t="s">
        <v>934</v>
      </c>
      <c r="AC348" s="32" t="s">
        <v>138</v>
      </c>
      <c r="AI348" s="24">
        <v>0.33333333333333331</v>
      </c>
      <c r="AJ348" s="24">
        <v>0.70833333333333337</v>
      </c>
    </row>
    <row r="349" spans="1:36" ht="14.25" customHeight="1">
      <c r="A349">
        <v>327</v>
      </c>
      <c r="B349" s="1">
        <v>10668211</v>
      </c>
      <c r="C349" s="1" t="s">
        <v>415</v>
      </c>
      <c r="D349" s="1" t="s">
        <v>1442</v>
      </c>
      <c r="E349" s="1" t="s">
        <v>631</v>
      </c>
      <c r="F349" s="1" t="str">
        <f>D349&amp;" "&amp;E349</f>
        <v>PHOE KYAW -</v>
      </c>
      <c r="G349" s="1" t="s">
        <v>1442</v>
      </c>
      <c r="H349" s="1" t="s">
        <v>631</v>
      </c>
      <c r="I349" s="1">
        <v>10668211</v>
      </c>
      <c r="J349" s="1" t="s">
        <v>45</v>
      </c>
      <c r="K349" s="2">
        <v>45667</v>
      </c>
      <c r="L349" s="1" t="s">
        <v>66</v>
      </c>
      <c r="M349" s="1" t="s">
        <v>48</v>
      </c>
      <c r="N349" s="1" t="s">
        <v>48</v>
      </c>
      <c r="O349" s="1" t="s">
        <v>936</v>
      </c>
      <c r="P349" s="1" t="s">
        <v>936</v>
      </c>
      <c r="Q349" s="1">
        <v>10358571</v>
      </c>
      <c r="R349" s="1" t="s">
        <v>1392</v>
      </c>
      <c r="S349" s="3" t="s">
        <v>1386</v>
      </c>
      <c r="T349" s="1" t="s">
        <v>52</v>
      </c>
      <c r="U349" s="1" t="s">
        <v>53</v>
      </c>
      <c r="V349" s="1" t="s">
        <v>54</v>
      </c>
      <c r="W349" s="1" t="s">
        <v>632</v>
      </c>
      <c r="X349" s="1">
        <v>1</v>
      </c>
      <c r="Y349" t="s">
        <v>1387</v>
      </c>
      <c r="AA349" s="10"/>
      <c r="AB349" s="10" t="s">
        <v>934</v>
      </c>
      <c r="AC349" s="32" t="s">
        <v>76</v>
      </c>
      <c r="AI349" s="24">
        <v>0.33333333333333331</v>
      </c>
      <c r="AJ349" s="24">
        <v>0.70833333333333337</v>
      </c>
    </row>
    <row r="350" spans="1:36" ht="14.25" customHeight="1">
      <c r="A350">
        <v>308</v>
      </c>
      <c r="B350" s="1">
        <v>10666827</v>
      </c>
      <c r="C350" s="1" t="s">
        <v>415</v>
      </c>
      <c r="D350" s="1" t="s">
        <v>1443</v>
      </c>
      <c r="E350" s="1" t="s">
        <v>631</v>
      </c>
      <c r="F350" s="1" t="str">
        <f>D350&amp;" "&amp;E350</f>
        <v>AUNG AUNG -</v>
      </c>
      <c r="G350" s="1" t="s">
        <v>1443</v>
      </c>
      <c r="H350" s="1" t="s">
        <v>631</v>
      </c>
      <c r="I350" s="1">
        <v>10666827</v>
      </c>
      <c r="J350" s="1" t="s">
        <v>45</v>
      </c>
      <c r="K350" s="1" t="s">
        <v>877</v>
      </c>
      <c r="L350" s="1" t="s">
        <v>66</v>
      </c>
      <c r="M350" s="1" t="s">
        <v>48</v>
      </c>
      <c r="N350" s="1" t="s">
        <v>48</v>
      </c>
      <c r="O350" s="1" t="s">
        <v>878</v>
      </c>
      <c r="P350" s="1" t="s">
        <v>878</v>
      </c>
      <c r="Q350" s="1">
        <v>10405187</v>
      </c>
      <c r="R350" s="1" t="s">
        <v>1441</v>
      </c>
      <c r="S350" s="3" t="s">
        <v>1386</v>
      </c>
      <c r="T350" s="1" t="s">
        <v>52</v>
      </c>
      <c r="U350" s="1" t="s">
        <v>53</v>
      </c>
      <c r="V350" s="1" t="s">
        <v>54</v>
      </c>
      <c r="W350" s="1" t="s">
        <v>632</v>
      </c>
      <c r="X350" s="1">
        <v>1</v>
      </c>
      <c r="Y350" t="s">
        <v>1387</v>
      </c>
      <c r="AA350" s="10"/>
      <c r="AB350" s="10" t="s">
        <v>934</v>
      </c>
      <c r="AC350" s="32" t="s">
        <v>76</v>
      </c>
      <c r="AI350" s="24">
        <v>0.33333333333333331</v>
      </c>
      <c r="AJ350" s="24">
        <v>0.70833333333333337</v>
      </c>
    </row>
    <row r="351" spans="1:36" ht="14.25" customHeight="1">
      <c r="A351">
        <v>248</v>
      </c>
      <c r="B351" s="1">
        <v>10656662</v>
      </c>
      <c r="C351" s="1" t="s">
        <v>92</v>
      </c>
      <c r="D351" s="1" t="s">
        <v>1444</v>
      </c>
      <c r="E351" s="1" t="s">
        <v>1445</v>
      </c>
      <c r="F351" s="1" t="str">
        <f>D351&amp;" "&amp;E351</f>
        <v>อมรเณศ หนูประเสริฐ</v>
      </c>
      <c r="G351" s="1" t="s">
        <v>1446</v>
      </c>
      <c r="H351" s="1" t="s">
        <v>1447</v>
      </c>
      <c r="I351" s="1">
        <v>10656662</v>
      </c>
      <c r="J351" s="1" t="s">
        <v>45</v>
      </c>
      <c r="K351" s="1" t="s">
        <v>668</v>
      </c>
      <c r="L351" s="1" t="s">
        <v>66</v>
      </c>
      <c r="M351" s="1" t="s">
        <v>48</v>
      </c>
      <c r="N351" s="1" t="s">
        <v>48</v>
      </c>
      <c r="O351" s="1" t="s">
        <v>669</v>
      </c>
      <c r="P351" s="1" t="s">
        <v>669</v>
      </c>
      <c r="Q351" s="1">
        <v>10358628</v>
      </c>
      <c r="R351" s="1" t="s">
        <v>981</v>
      </c>
      <c r="S351" s="3" t="s">
        <v>1386</v>
      </c>
      <c r="T351" s="1" t="s">
        <v>52</v>
      </c>
      <c r="U351" s="1" t="s">
        <v>53</v>
      </c>
      <c r="V351" s="1" t="s">
        <v>54</v>
      </c>
      <c r="W351" s="1" t="s">
        <v>55</v>
      </c>
      <c r="X351" s="1">
        <v>1</v>
      </c>
      <c r="Y351" t="s">
        <v>1387</v>
      </c>
      <c r="AA351" s="10"/>
      <c r="AB351" s="10" t="s">
        <v>1448</v>
      </c>
      <c r="AC351" s="32" t="s">
        <v>91</v>
      </c>
      <c r="AF351" s="10" t="s">
        <v>59</v>
      </c>
      <c r="AI351" s="24">
        <v>0.33333333333333331</v>
      </c>
      <c r="AJ351" s="24">
        <v>0.70833333333333337</v>
      </c>
    </row>
    <row r="352" spans="1:36" ht="14.25" customHeight="1">
      <c r="A352">
        <v>235</v>
      </c>
      <c r="B352" s="1">
        <v>10653664</v>
      </c>
      <c r="C352" s="1" t="s">
        <v>39</v>
      </c>
      <c r="D352" s="1" t="s">
        <v>1449</v>
      </c>
      <c r="E352" s="1" t="s">
        <v>1450</v>
      </c>
      <c r="F352" s="1" t="str">
        <f>D352&amp;" "&amp;E352</f>
        <v>สุภาภรณ์ บัวกุล</v>
      </c>
      <c r="G352" s="1" t="s">
        <v>497</v>
      </c>
      <c r="H352" s="1" t="s">
        <v>1451</v>
      </c>
      <c r="I352" s="1">
        <v>10653664</v>
      </c>
      <c r="J352" s="1" t="s">
        <v>45</v>
      </c>
      <c r="K352" s="2">
        <v>45664</v>
      </c>
      <c r="L352" s="1" t="s">
        <v>66</v>
      </c>
      <c r="M352" s="1" t="s">
        <v>48</v>
      </c>
      <c r="N352" s="1" t="s">
        <v>48</v>
      </c>
      <c r="O352" s="1" t="s">
        <v>89</v>
      </c>
      <c r="P352" s="1" t="s">
        <v>89</v>
      </c>
      <c r="Q352" s="1">
        <v>10358615</v>
      </c>
      <c r="R352" s="1" t="s">
        <v>1385</v>
      </c>
      <c r="S352" s="3" t="s">
        <v>1386</v>
      </c>
      <c r="T352" s="1" t="s">
        <v>52</v>
      </c>
      <c r="U352" s="1" t="s">
        <v>53</v>
      </c>
      <c r="V352" s="1" t="s">
        <v>54</v>
      </c>
      <c r="W352" s="1" t="s">
        <v>55</v>
      </c>
      <c r="X352" s="1">
        <v>1</v>
      </c>
      <c r="Y352" t="s">
        <v>1387</v>
      </c>
      <c r="AA352" s="10"/>
      <c r="AB352" s="10" t="s">
        <v>1448</v>
      </c>
      <c r="AC352" s="32" t="s">
        <v>84</v>
      </c>
      <c r="AF352" s="10" t="s">
        <v>59</v>
      </c>
      <c r="AI352" s="24">
        <v>0.33333333333333331</v>
      </c>
      <c r="AJ352" s="24">
        <v>0.70833333333333337</v>
      </c>
    </row>
    <row r="353" spans="1:36" ht="14.25" customHeight="1">
      <c r="A353">
        <v>247</v>
      </c>
      <c r="B353" s="1">
        <v>10656647</v>
      </c>
      <c r="C353" s="1" t="s">
        <v>39</v>
      </c>
      <c r="D353" s="1" t="s">
        <v>1452</v>
      </c>
      <c r="E353" s="1" t="s">
        <v>1453</v>
      </c>
      <c r="F353" s="1" t="str">
        <f>D353&amp;" "&amp;E353</f>
        <v>รัฏฐิณี ส่งแก้ว</v>
      </c>
      <c r="G353" s="1" t="s">
        <v>1454</v>
      </c>
      <c r="H353" s="1" t="s">
        <v>1455</v>
      </c>
      <c r="I353" s="1">
        <v>10656647</v>
      </c>
      <c r="J353" s="1" t="s">
        <v>45</v>
      </c>
      <c r="K353" s="1" t="s">
        <v>668</v>
      </c>
      <c r="L353" s="1" t="s">
        <v>66</v>
      </c>
      <c r="M353" s="1" t="s">
        <v>48</v>
      </c>
      <c r="N353" s="1" t="s">
        <v>48</v>
      </c>
      <c r="O353" s="1" t="s">
        <v>669</v>
      </c>
      <c r="P353" s="1" t="s">
        <v>669</v>
      </c>
      <c r="Q353" s="1">
        <v>10358615</v>
      </c>
      <c r="R353" s="1" t="s">
        <v>1385</v>
      </c>
      <c r="S353" s="3" t="s">
        <v>1386</v>
      </c>
      <c r="T353" s="1" t="s">
        <v>52</v>
      </c>
      <c r="U353" s="1" t="s">
        <v>53</v>
      </c>
      <c r="V353" s="1" t="s">
        <v>54</v>
      </c>
      <c r="W353" s="1" t="s">
        <v>55</v>
      </c>
      <c r="X353" s="1">
        <v>1</v>
      </c>
      <c r="Y353" t="s">
        <v>1387</v>
      </c>
      <c r="AA353" s="10"/>
      <c r="AB353" s="10" t="s">
        <v>1448</v>
      </c>
      <c r="AC353" s="32" t="s">
        <v>91</v>
      </c>
      <c r="AF353" s="10" t="s">
        <v>59</v>
      </c>
      <c r="AI353" s="24">
        <v>0.33333333333333331</v>
      </c>
      <c r="AJ353" s="24">
        <v>0.70833333333333337</v>
      </c>
    </row>
    <row r="354" spans="1:36" ht="14.25" customHeight="1">
      <c r="A354">
        <v>206</v>
      </c>
      <c r="B354" s="1">
        <v>10635312</v>
      </c>
      <c r="C354" s="1" t="s">
        <v>39</v>
      </c>
      <c r="D354" s="1" t="s">
        <v>1456</v>
      </c>
      <c r="E354" s="1" t="s">
        <v>1457</v>
      </c>
      <c r="F354" s="1" t="str">
        <f>D354&amp;" "&amp;E354</f>
        <v>ยุวดี รันขุนทด</v>
      </c>
      <c r="G354" s="1" t="s">
        <v>1458</v>
      </c>
      <c r="H354" s="1" t="s">
        <v>1459</v>
      </c>
      <c r="I354" s="1">
        <v>10635312</v>
      </c>
      <c r="J354" s="1" t="s">
        <v>45</v>
      </c>
      <c r="K354" s="2">
        <v>45718</v>
      </c>
      <c r="L354" s="1" t="s">
        <v>66</v>
      </c>
      <c r="M354" s="1" t="s">
        <v>48</v>
      </c>
      <c r="N354" s="1" t="s">
        <v>48</v>
      </c>
      <c r="O354" s="2">
        <v>45694</v>
      </c>
      <c r="P354" s="2">
        <v>45694</v>
      </c>
      <c r="Q354" s="1">
        <v>10358615</v>
      </c>
      <c r="R354" s="1" t="s">
        <v>1385</v>
      </c>
      <c r="S354" s="3" t="s">
        <v>1386</v>
      </c>
      <c r="T354" s="1" t="s">
        <v>52</v>
      </c>
      <c r="U354" s="1" t="s">
        <v>53</v>
      </c>
      <c r="V354" s="1" t="s">
        <v>54</v>
      </c>
      <c r="W354" s="1" t="s">
        <v>55</v>
      </c>
      <c r="X354" s="1">
        <v>1</v>
      </c>
      <c r="Y354" t="s">
        <v>1387</v>
      </c>
      <c r="AA354" s="10"/>
      <c r="AB354" s="10" t="s">
        <v>1448</v>
      </c>
      <c r="AC354" s="32" t="s">
        <v>212</v>
      </c>
      <c r="AF354" s="10" t="s">
        <v>59</v>
      </c>
      <c r="AI354" s="24">
        <v>0.33333333333333331</v>
      </c>
      <c r="AJ354" s="24">
        <v>0.70833333333333337</v>
      </c>
    </row>
    <row r="355" spans="1:36" ht="14.25" customHeight="1">
      <c r="A355">
        <v>342</v>
      </c>
      <c r="B355" s="1">
        <v>10675910</v>
      </c>
      <c r="C355" s="1" t="s">
        <v>92</v>
      </c>
      <c r="D355" s="1" t="s">
        <v>1460</v>
      </c>
      <c r="E355" s="1" t="s">
        <v>1461</v>
      </c>
      <c r="F355" s="1" t="str">
        <f>D355&amp;" "&amp;E355</f>
        <v>ยุทธศาสตร์ ใยสว่าง</v>
      </c>
      <c r="G355" s="1" t="s">
        <v>1462</v>
      </c>
      <c r="H355" s="1" t="s">
        <v>1463</v>
      </c>
      <c r="I355" s="1">
        <v>10675910</v>
      </c>
      <c r="J355" s="1" t="s">
        <v>45</v>
      </c>
      <c r="K355" s="1" t="s">
        <v>860</v>
      </c>
      <c r="L355" s="1" t="s">
        <v>66</v>
      </c>
      <c r="M355" s="1" t="s">
        <v>48</v>
      </c>
      <c r="N355" s="1" t="s">
        <v>48</v>
      </c>
      <c r="O355" s="1" t="s">
        <v>861</v>
      </c>
      <c r="P355" s="1" t="s">
        <v>861</v>
      </c>
      <c r="Q355" s="1">
        <v>10358615</v>
      </c>
      <c r="R355" s="1" t="s">
        <v>1385</v>
      </c>
      <c r="S355" s="3" t="s">
        <v>1386</v>
      </c>
      <c r="T355" s="1" t="s">
        <v>52</v>
      </c>
      <c r="U355" s="1" t="s">
        <v>53</v>
      </c>
      <c r="V355" s="1" t="s">
        <v>54</v>
      </c>
      <c r="W355" s="1" t="s">
        <v>55</v>
      </c>
      <c r="X355" s="1">
        <v>1</v>
      </c>
      <c r="Y355" t="s">
        <v>1387</v>
      </c>
      <c r="AA355" s="10"/>
      <c r="AB355" s="10" t="s">
        <v>1448</v>
      </c>
      <c r="AC355" s="32" t="s">
        <v>91</v>
      </c>
      <c r="AF355" s="10" t="s">
        <v>59</v>
      </c>
      <c r="AI355" s="24">
        <v>0.33333333333333331</v>
      </c>
      <c r="AJ355" s="24">
        <v>0.70833333333333337</v>
      </c>
    </row>
    <row r="356" spans="1:36" ht="14.25" customHeight="1">
      <c r="A356">
        <v>278</v>
      </c>
      <c r="B356" s="1">
        <v>10660684</v>
      </c>
      <c r="C356" s="1" t="s">
        <v>39</v>
      </c>
      <c r="D356" s="1" t="s">
        <v>1464</v>
      </c>
      <c r="E356" s="1" t="s">
        <v>1465</v>
      </c>
      <c r="F356" s="1" t="str">
        <f>D356&amp;" "&amp;E356</f>
        <v>มนต์นภา ทาถี</v>
      </c>
      <c r="G356" s="1" t="s">
        <v>1466</v>
      </c>
      <c r="H356" s="1" t="s">
        <v>1467</v>
      </c>
      <c r="I356" s="1">
        <v>10660684</v>
      </c>
      <c r="J356" s="1" t="s">
        <v>45</v>
      </c>
      <c r="K356" s="1" t="s">
        <v>992</v>
      </c>
      <c r="L356" s="1" t="s">
        <v>66</v>
      </c>
      <c r="M356" s="1" t="s">
        <v>48</v>
      </c>
      <c r="N356" s="1" t="s">
        <v>48</v>
      </c>
      <c r="O356" s="1" t="s">
        <v>860</v>
      </c>
      <c r="P356" s="1" t="s">
        <v>860</v>
      </c>
      <c r="Q356" s="1">
        <v>10358578</v>
      </c>
      <c r="R356" s="1" t="s">
        <v>1468</v>
      </c>
      <c r="S356" s="3" t="s">
        <v>1386</v>
      </c>
      <c r="T356" s="1" t="s">
        <v>52</v>
      </c>
      <c r="U356" s="1" t="s">
        <v>53</v>
      </c>
      <c r="V356" s="1" t="s">
        <v>54</v>
      </c>
      <c r="W356" s="1" t="s">
        <v>55</v>
      </c>
      <c r="X356" s="1">
        <v>1</v>
      </c>
      <c r="Y356" t="s">
        <v>1387</v>
      </c>
      <c r="AA356" s="10"/>
      <c r="AB356" s="10" t="s">
        <v>1448</v>
      </c>
      <c r="AC356" s="32" t="s">
        <v>69</v>
      </c>
      <c r="AF356" s="10" t="s">
        <v>59</v>
      </c>
      <c r="AI356" s="24">
        <v>0.33333333333333331</v>
      </c>
      <c r="AJ356" s="24">
        <v>0.70833333333333337</v>
      </c>
    </row>
    <row r="357" spans="1:36" ht="14.25" customHeight="1">
      <c r="A357">
        <v>369</v>
      </c>
      <c r="B357" s="1">
        <v>10681984</v>
      </c>
      <c r="C357" s="1" t="s">
        <v>39</v>
      </c>
      <c r="D357" s="1" t="s">
        <v>1469</v>
      </c>
      <c r="E357" s="1" t="s">
        <v>1470</v>
      </c>
      <c r="F357" s="1" t="str">
        <f>D357&amp;" "&amp;E357</f>
        <v>ปวีณา แก้วบุญเพิ่ม</v>
      </c>
      <c r="G357" s="1" t="s">
        <v>1471</v>
      </c>
      <c r="H357" s="1" t="s">
        <v>1472</v>
      </c>
      <c r="I357" s="1">
        <v>10681984</v>
      </c>
      <c r="J357" s="1" t="s">
        <v>45</v>
      </c>
      <c r="K357" s="2">
        <v>46083</v>
      </c>
      <c r="L357" s="1" t="s">
        <v>66</v>
      </c>
      <c r="M357" s="1" t="s">
        <v>48</v>
      </c>
      <c r="N357" s="1" t="s">
        <v>98</v>
      </c>
      <c r="O357" s="2">
        <v>46059</v>
      </c>
      <c r="P357" s="1" t="s">
        <v>100</v>
      </c>
      <c r="Q357" s="1">
        <v>10358615</v>
      </c>
      <c r="R357" s="1" t="s">
        <v>1385</v>
      </c>
      <c r="S357" s="3" t="s">
        <v>1386</v>
      </c>
      <c r="T357" s="1" t="s">
        <v>52</v>
      </c>
      <c r="U357" s="1" t="s">
        <v>53</v>
      </c>
      <c r="V357" s="1" t="s">
        <v>54</v>
      </c>
      <c r="W357" s="1" t="s">
        <v>55</v>
      </c>
      <c r="X357" s="1">
        <v>1</v>
      </c>
      <c r="Y357" t="s">
        <v>1387</v>
      </c>
      <c r="AA357" s="10"/>
      <c r="AB357" s="10" t="s">
        <v>1448</v>
      </c>
      <c r="AC357" s="32" t="s">
        <v>91</v>
      </c>
      <c r="AF357" s="10" t="s">
        <v>59</v>
      </c>
      <c r="AI357" s="24">
        <v>0.33333333333333331</v>
      </c>
      <c r="AJ357" s="24">
        <v>0.70833333333333337</v>
      </c>
    </row>
    <row r="358" spans="1:36" ht="14.25" customHeight="1">
      <c r="A358">
        <v>366</v>
      </c>
      <c r="B358" s="1">
        <v>10680567</v>
      </c>
      <c r="C358" s="1" t="s">
        <v>92</v>
      </c>
      <c r="D358" s="1" t="s">
        <v>1473</v>
      </c>
      <c r="E358" s="1" t="s">
        <v>1474</v>
      </c>
      <c r="F358" s="1" t="str">
        <f>D358&amp;" "&amp;E358</f>
        <v>ประกอบกูล บัวแย้ม</v>
      </c>
      <c r="G358" s="1" t="s">
        <v>1475</v>
      </c>
      <c r="H358" s="1" t="s">
        <v>1476</v>
      </c>
      <c r="I358" s="1">
        <v>10680567</v>
      </c>
      <c r="J358" s="1" t="s">
        <v>45</v>
      </c>
      <c r="K358" s="1" t="s">
        <v>259</v>
      </c>
      <c r="L358" s="1" t="s">
        <v>66</v>
      </c>
      <c r="M358" s="1" t="s">
        <v>48</v>
      </c>
      <c r="N358" s="1" t="s">
        <v>98</v>
      </c>
      <c r="O358" s="1" t="s">
        <v>260</v>
      </c>
      <c r="P358" s="1" t="s">
        <v>100</v>
      </c>
      <c r="Q358" s="1">
        <v>10358615</v>
      </c>
      <c r="R358" s="1" t="s">
        <v>1385</v>
      </c>
      <c r="S358" s="3" t="s">
        <v>1386</v>
      </c>
      <c r="T358" s="1" t="s">
        <v>52</v>
      </c>
      <c r="U358" s="1" t="s">
        <v>53</v>
      </c>
      <c r="V358" s="1" t="s">
        <v>54</v>
      </c>
      <c r="W358" s="1" t="s">
        <v>55</v>
      </c>
      <c r="X358" s="1">
        <v>1</v>
      </c>
      <c r="Y358" t="s">
        <v>1387</v>
      </c>
      <c r="AA358" s="10"/>
      <c r="AB358" s="10" t="s">
        <v>1448</v>
      </c>
      <c r="AC358" s="32" t="s">
        <v>138</v>
      </c>
      <c r="AF358" s="10" t="s">
        <v>59</v>
      </c>
      <c r="AI358" s="24">
        <v>0.33333333333333331</v>
      </c>
      <c r="AJ358" s="24">
        <v>0.70833333333333337</v>
      </c>
    </row>
    <row r="359" spans="1:36" ht="14.25" customHeight="1">
      <c r="A359">
        <v>94</v>
      </c>
      <c r="B359" s="1">
        <v>10503739</v>
      </c>
      <c r="C359" s="1" t="s">
        <v>39</v>
      </c>
      <c r="D359" s="1" t="s">
        <v>1477</v>
      </c>
      <c r="E359" s="1" t="s">
        <v>1478</v>
      </c>
      <c r="F359" s="1" t="str">
        <f>D359&amp;" "&amp;E359</f>
        <v>นิศากร วิพันธุ์เงิน</v>
      </c>
      <c r="G359" s="1" t="s">
        <v>1479</v>
      </c>
      <c r="H359" s="1" t="s">
        <v>1480</v>
      </c>
      <c r="I359" s="1">
        <v>10503739</v>
      </c>
      <c r="J359" s="1" t="s">
        <v>45</v>
      </c>
      <c r="K359" s="1" t="s">
        <v>1481</v>
      </c>
      <c r="L359" s="1" t="s">
        <v>66</v>
      </c>
      <c r="M359" s="1" t="s">
        <v>48</v>
      </c>
      <c r="N359" s="1" t="s">
        <v>48</v>
      </c>
      <c r="O359" s="1" t="s">
        <v>1482</v>
      </c>
      <c r="P359" s="1" t="s">
        <v>1482</v>
      </c>
      <c r="Q359" s="1">
        <v>10358615</v>
      </c>
      <c r="R359" s="1" t="s">
        <v>1385</v>
      </c>
      <c r="S359" s="3" t="s">
        <v>1386</v>
      </c>
      <c r="T359" s="1" t="s">
        <v>52</v>
      </c>
      <c r="U359" s="1" t="s">
        <v>53</v>
      </c>
      <c r="V359" s="1" t="s">
        <v>54</v>
      </c>
      <c r="W359" s="1" t="s">
        <v>55</v>
      </c>
      <c r="X359" s="1">
        <v>1</v>
      </c>
      <c r="Y359" t="s">
        <v>1387</v>
      </c>
      <c r="AA359" s="10"/>
      <c r="AB359" s="10" t="s">
        <v>1448</v>
      </c>
      <c r="AC359" s="32" t="s">
        <v>84</v>
      </c>
      <c r="AF359" s="10" t="s">
        <v>59</v>
      </c>
      <c r="AI359" s="24">
        <v>0.33333333333333331</v>
      </c>
      <c r="AJ359" s="24">
        <v>0.70833333333333337</v>
      </c>
    </row>
    <row r="360" spans="1:36" ht="14.25" customHeight="1">
      <c r="A360">
        <v>153</v>
      </c>
      <c r="B360" s="1">
        <v>10572347</v>
      </c>
      <c r="C360" s="1" t="s">
        <v>39</v>
      </c>
      <c r="D360" s="1" t="s">
        <v>1483</v>
      </c>
      <c r="E360" s="1" t="s">
        <v>1484</v>
      </c>
      <c r="F360" s="1" t="str">
        <f>D360&amp;" "&amp;E360</f>
        <v>นิตชฎา จันดากรณ์</v>
      </c>
      <c r="G360" s="1" t="s">
        <v>1485</v>
      </c>
      <c r="H360" s="1" t="s">
        <v>1486</v>
      </c>
      <c r="I360" s="1">
        <v>10572347</v>
      </c>
      <c r="J360" s="1" t="s">
        <v>45</v>
      </c>
      <c r="K360" s="2">
        <v>44967</v>
      </c>
      <c r="L360" s="1" t="s">
        <v>66</v>
      </c>
      <c r="M360" s="1" t="s">
        <v>48</v>
      </c>
      <c r="N360" s="1" t="s">
        <v>48</v>
      </c>
      <c r="O360" s="1" t="s">
        <v>1430</v>
      </c>
      <c r="P360" s="1" t="s">
        <v>1430</v>
      </c>
      <c r="Q360" s="1">
        <v>10358615</v>
      </c>
      <c r="R360" s="1" t="s">
        <v>1385</v>
      </c>
      <c r="S360" s="3" t="s">
        <v>1386</v>
      </c>
      <c r="T360" s="1" t="s">
        <v>52</v>
      </c>
      <c r="U360" s="1" t="s">
        <v>53</v>
      </c>
      <c r="V360" s="1" t="s">
        <v>54</v>
      </c>
      <c r="W360" s="1" t="s">
        <v>55</v>
      </c>
      <c r="X360" s="1">
        <v>1</v>
      </c>
      <c r="Y360" t="s">
        <v>1387</v>
      </c>
      <c r="AA360" s="10"/>
      <c r="AB360" s="10" t="s">
        <v>1448</v>
      </c>
      <c r="AC360" s="32" t="s">
        <v>212</v>
      </c>
      <c r="AF360" s="10" t="s">
        <v>59</v>
      </c>
      <c r="AI360" s="24">
        <v>0.33333333333333331</v>
      </c>
      <c r="AJ360" s="24">
        <v>0.70833333333333337</v>
      </c>
    </row>
    <row r="361" spans="1:36" ht="14.25" customHeight="1">
      <c r="A361">
        <v>341</v>
      </c>
      <c r="B361" s="1">
        <v>10675888</v>
      </c>
      <c r="C361" s="1" t="s">
        <v>39</v>
      </c>
      <c r="D361" s="1" t="s">
        <v>278</v>
      </c>
      <c r="E361" s="1" t="s">
        <v>140</v>
      </c>
      <c r="F361" s="1" t="str">
        <f>D361&amp;" "&amp;E361</f>
        <v>นพรัตน์ มะลิทอง</v>
      </c>
      <c r="G361" s="1" t="s">
        <v>1487</v>
      </c>
      <c r="H361" s="1" t="s">
        <v>142</v>
      </c>
      <c r="I361" s="1">
        <v>10675888</v>
      </c>
      <c r="J361" s="1" t="s">
        <v>45</v>
      </c>
      <c r="K361" s="1" t="s">
        <v>860</v>
      </c>
      <c r="L361" s="1" t="s">
        <v>66</v>
      </c>
      <c r="M361" s="1" t="s">
        <v>48</v>
      </c>
      <c r="N361" s="1" t="s">
        <v>48</v>
      </c>
      <c r="O361" s="1" t="s">
        <v>861</v>
      </c>
      <c r="P361" s="1" t="s">
        <v>861</v>
      </c>
      <c r="Q361" s="1">
        <v>10358615</v>
      </c>
      <c r="R361" s="1" t="s">
        <v>1385</v>
      </c>
      <c r="S361" s="3" t="s">
        <v>1386</v>
      </c>
      <c r="T361" s="1" t="s">
        <v>52</v>
      </c>
      <c r="U361" s="1" t="s">
        <v>53</v>
      </c>
      <c r="V361" s="1" t="s">
        <v>54</v>
      </c>
      <c r="W361" s="1" t="s">
        <v>55</v>
      </c>
      <c r="X361" s="1">
        <v>1</v>
      </c>
      <c r="Y361" t="s">
        <v>1387</v>
      </c>
      <c r="AA361" s="10"/>
      <c r="AB361" s="10" t="s">
        <v>1448</v>
      </c>
      <c r="AC361" s="32" t="s">
        <v>69</v>
      </c>
      <c r="AF361" s="10" t="s">
        <v>59</v>
      </c>
      <c r="AI361" s="24">
        <v>0.33333333333333331</v>
      </c>
      <c r="AJ361" s="24">
        <v>0.70833333333333337</v>
      </c>
    </row>
    <row r="362" spans="1:36" ht="14.25" customHeight="1">
      <c r="A362">
        <v>266</v>
      </c>
      <c r="B362" s="1">
        <v>10659431</v>
      </c>
      <c r="C362" s="1" t="s">
        <v>39</v>
      </c>
      <c r="D362" s="1" t="s">
        <v>1488</v>
      </c>
      <c r="E362" s="1" t="s">
        <v>1489</v>
      </c>
      <c r="F362" s="1" t="str">
        <f>D362&amp;" "&amp;E362</f>
        <v>ธัญญาเรศ ศิริพัฒน์</v>
      </c>
      <c r="G362" s="1" t="s">
        <v>1490</v>
      </c>
      <c r="H362" s="1" t="s">
        <v>1491</v>
      </c>
      <c r="I362" s="1">
        <v>10659431</v>
      </c>
      <c r="J362" s="1" t="s">
        <v>45</v>
      </c>
      <c r="K362" s="2">
        <v>45877</v>
      </c>
      <c r="L362" s="1" t="s">
        <v>66</v>
      </c>
      <c r="M362" s="1" t="s">
        <v>48</v>
      </c>
      <c r="N362" s="1" t="s">
        <v>48</v>
      </c>
      <c r="O362" s="2">
        <v>45789</v>
      </c>
      <c r="P362" s="2">
        <v>45789</v>
      </c>
      <c r="Q362" s="1">
        <v>10358615</v>
      </c>
      <c r="R362" s="1" t="s">
        <v>1385</v>
      </c>
      <c r="S362" s="3" t="s">
        <v>1386</v>
      </c>
      <c r="T362" s="1" t="s">
        <v>52</v>
      </c>
      <c r="U362" s="1" t="s">
        <v>53</v>
      </c>
      <c r="V362" s="1" t="s">
        <v>54</v>
      </c>
      <c r="W362" s="1" t="s">
        <v>55</v>
      </c>
      <c r="X362" s="1">
        <v>1</v>
      </c>
      <c r="Y362" t="s">
        <v>1387</v>
      </c>
      <c r="AA362" s="10"/>
      <c r="AB362" s="10" t="s">
        <v>1448</v>
      </c>
      <c r="AC362" s="32" t="s">
        <v>138</v>
      </c>
      <c r="AF362" s="10" t="s">
        <v>59</v>
      </c>
      <c r="AI362" s="24">
        <v>0.33333333333333331</v>
      </c>
      <c r="AJ362" s="24">
        <v>0.70833333333333337</v>
      </c>
    </row>
    <row r="363" spans="1:36" ht="14.25" customHeight="1">
      <c r="A363">
        <v>92</v>
      </c>
      <c r="B363" s="1">
        <v>10501461</v>
      </c>
      <c r="C363" s="1" t="s">
        <v>39</v>
      </c>
      <c r="D363" s="1" t="s">
        <v>1492</v>
      </c>
      <c r="E363" s="1" t="s">
        <v>1493</v>
      </c>
      <c r="F363" s="1" t="str">
        <f>D363&amp;" "&amp;E363</f>
        <v>จินดามณี บุตเกิง</v>
      </c>
      <c r="G363" s="1" t="s">
        <v>1494</v>
      </c>
      <c r="H363" s="1" t="s">
        <v>1495</v>
      </c>
      <c r="I363" s="1">
        <v>10501461</v>
      </c>
      <c r="J363" s="1" t="s">
        <v>45</v>
      </c>
      <c r="K363" s="1" t="s">
        <v>1496</v>
      </c>
      <c r="L363" s="1" t="s">
        <v>66</v>
      </c>
      <c r="M363" s="1" t="s">
        <v>48</v>
      </c>
      <c r="N363" s="1" t="s">
        <v>48</v>
      </c>
      <c r="O363" s="1" t="s">
        <v>1497</v>
      </c>
      <c r="P363" s="1" t="s">
        <v>1497</v>
      </c>
      <c r="Q363" s="1">
        <v>10358615</v>
      </c>
      <c r="R363" s="1" t="s">
        <v>1385</v>
      </c>
      <c r="S363" s="3" t="s">
        <v>1386</v>
      </c>
      <c r="T363" s="1" t="s">
        <v>52</v>
      </c>
      <c r="U363" s="1" t="s">
        <v>53</v>
      </c>
      <c r="V363" s="1" t="s">
        <v>54</v>
      </c>
      <c r="W363" s="1" t="s">
        <v>55</v>
      </c>
      <c r="X363" s="1">
        <v>1</v>
      </c>
      <c r="Y363" t="s">
        <v>1387</v>
      </c>
      <c r="AA363" s="10"/>
      <c r="AB363" s="10" t="s">
        <v>1448</v>
      </c>
      <c r="AC363" s="32" t="s">
        <v>138</v>
      </c>
      <c r="AF363" s="10" t="s">
        <v>59</v>
      </c>
      <c r="AI363" s="24">
        <v>0.33333333333333331</v>
      </c>
      <c r="AJ363" s="24">
        <v>0.70833333333333337</v>
      </c>
    </row>
    <row r="364" spans="1:36" ht="14.25" customHeight="1">
      <c r="A364">
        <v>228</v>
      </c>
      <c r="B364" s="1">
        <v>10652122</v>
      </c>
      <c r="C364" s="1" t="s">
        <v>39</v>
      </c>
      <c r="D364" s="1" t="s">
        <v>545</v>
      </c>
      <c r="E364" s="1" t="s">
        <v>969</v>
      </c>
      <c r="F364" s="1" t="str">
        <f>D364&amp;" "&amp;E364</f>
        <v>จริยา เจริญใส</v>
      </c>
      <c r="G364" s="1" t="s">
        <v>1498</v>
      </c>
      <c r="H364" s="1" t="s">
        <v>971</v>
      </c>
      <c r="I364" s="1">
        <v>10652122</v>
      </c>
      <c r="J364" s="1" t="s">
        <v>45</v>
      </c>
      <c r="K364" s="1" t="s">
        <v>115</v>
      </c>
      <c r="L364" s="1" t="s">
        <v>66</v>
      </c>
      <c r="M364" s="1" t="s">
        <v>48</v>
      </c>
      <c r="N364" s="1" t="s">
        <v>48</v>
      </c>
      <c r="O364" s="1" t="s">
        <v>116</v>
      </c>
      <c r="P364" s="1" t="s">
        <v>116</v>
      </c>
      <c r="Q364" s="1">
        <v>10358615</v>
      </c>
      <c r="R364" s="1" t="s">
        <v>1385</v>
      </c>
      <c r="S364" s="3" t="s">
        <v>1386</v>
      </c>
      <c r="T364" s="1" t="s">
        <v>52</v>
      </c>
      <c r="U364" s="1" t="s">
        <v>53</v>
      </c>
      <c r="V364" s="1" t="s">
        <v>54</v>
      </c>
      <c r="W364" s="1" t="s">
        <v>55</v>
      </c>
      <c r="X364" s="1">
        <v>1</v>
      </c>
      <c r="Y364" t="s">
        <v>1387</v>
      </c>
      <c r="AA364" s="10"/>
      <c r="AB364" s="10" t="s">
        <v>1448</v>
      </c>
      <c r="AC364" s="32" t="s">
        <v>91</v>
      </c>
      <c r="AF364" s="10" t="s">
        <v>59</v>
      </c>
      <c r="AI364" s="24">
        <v>0.33333333333333331</v>
      </c>
      <c r="AJ364" s="24">
        <v>0.70833333333333337</v>
      </c>
    </row>
    <row r="365" spans="1:36" ht="14.25" customHeight="1">
      <c r="A365">
        <v>24</v>
      </c>
      <c r="B365" s="1">
        <v>10343714</v>
      </c>
      <c r="C365" s="1" t="s">
        <v>39</v>
      </c>
      <c r="D365" s="1" t="s">
        <v>1499</v>
      </c>
      <c r="E365" s="1" t="s">
        <v>1500</v>
      </c>
      <c r="F365" s="1" t="str">
        <f>D365&amp;" "&amp;E365</f>
        <v>เกสร ซาวทองคำ</v>
      </c>
      <c r="G365" s="1" t="s">
        <v>1501</v>
      </c>
      <c r="H365" s="1" t="s">
        <v>1502</v>
      </c>
      <c r="I365" s="1">
        <v>10343714</v>
      </c>
      <c r="J365" s="1" t="s">
        <v>45</v>
      </c>
      <c r="K365" s="1" t="s">
        <v>1503</v>
      </c>
      <c r="L365" s="1" t="s">
        <v>66</v>
      </c>
      <c r="M365" s="1" t="s">
        <v>48</v>
      </c>
      <c r="N365" s="1" t="s">
        <v>48</v>
      </c>
      <c r="O365" s="1" t="s">
        <v>1504</v>
      </c>
      <c r="P365" s="1" t="s">
        <v>1504</v>
      </c>
      <c r="Q365" s="1">
        <v>10358615</v>
      </c>
      <c r="R365" s="1" t="s">
        <v>1385</v>
      </c>
      <c r="S365" s="3" t="s">
        <v>1386</v>
      </c>
      <c r="T365" s="1" t="s">
        <v>52</v>
      </c>
      <c r="U365" s="1" t="s">
        <v>53</v>
      </c>
      <c r="V365" s="1" t="s">
        <v>54</v>
      </c>
      <c r="W365" s="1" t="s">
        <v>55</v>
      </c>
      <c r="X365" s="1">
        <v>1</v>
      </c>
      <c r="Y365" t="s">
        <v>1387</v>
      </c>
      <c r="AA365" s="10"/>
      <c r="AB365" s="10" t="s">
        <v>1448</v>
      </c>
      <c r="AC365" s="32" t="s">
        <v>69</v>
      </c>
      <c r="AF365" s="10" t="s">
        <v>59</v>
      </c>
      <c r="AI365" s="24">
        <v>0.33333333333333331</v>
      </c>
      <c r="AJ365" s="24">
        <v>0.70833333333333337</v>
      </c>
    </row>
    <row r="366" spans="1:36" ht="14.25" customHeight="1">
      <c r="A366">
        <v>386</v>
      </c>
      <c r="B366" s="1">
        <v>10685959</v>
      </c>
      <c r="C366" s="1" t="s">
        <v>39</v>
      </c>
      <c r="D366" s="1" t="s">
        <v>1505</v>
      </c>
      <c r="E366" s="1" t="s">
        <v>1506</v>
      </c>
      <c r="F366" s="1" t="str">
        <f>D366&amp;" "&amp;E366</f>
        <v>กรรณิกา สิมมา</v>
      </c>
      <c r="G366" s="1" t="s">
        <v>1507</v>
      </c>
      <c r="H366" s="1" t="s">
        <v>1508</v>
      </c>
      <c r="I366" s="1">
        <v>10685959</v>
      </c>
      <c r="J366" s="1" t="s">
        <v>45</v>
      </c>
      <c r="K366" s="2">
        <v>46145</v>
      </c>
      <c r="L366" s="1" t="s">
        <v>66</v>
      </c>
      <c r="M366" s="1" t="s">
        <v>48</v>
      </c>
      <c r="N366" s="1" t="s">
        <v>98</v>
      </c>
      <c r="O366" s="2">
        <v>46060</v>
      </c>
      <c r="P366" s="1" t="s">
        <v>100</v>
      </c>
      <c r="Q366" s="1">
        <v>10358615</v>
      </c>
      <c r="R366" s="1" t="s">
        <v>1385</v>
      </c>
      <c r="S366" s="3" t="s">
        <v>1386</v>
      </c>
      <c r="T366" s="1" t="s">
        <v>52</v>
      </c>
      <c r="U366" s="1" t="s">
        <v>53</v>
      </c>
      <c r="V366" s="1" t="s">
        <v>54</v>
      </c>
      <c r="W366" s="1" t="s">
        <v>55</v>
      </c>
      <c r="X366" s="1">
        <v>1</v>
      </c>
      <c r="Y366" t="s">
        <v>1387</v>
      </c>
      <c r="AA366" s="10"/>
      <c r="AB366" s="10" t="s">
        <v>1448</v>
      </c>
      <c r="AC366" s="32" t="s">
        <v>69</v>
      </c>
      <c r="AF366" s="10" t="s">
        <v>59</v>
      </c>
      <c r="AI366" s="24">
        <v>0.33333333333333331</v>
      </c>
      <c r="AJ366" s="24">
        <v>0.70833333333333337</v>
      </c>
    </row>
    <row r="367" spans="1:36" ht="14.25" customHeight="1">
      <c r="A367">
        <v>429</v>
      </c>
      <c r="B367" s="1">
        <v>10691724</v>
      </c>
      <c r="C367" s="1" t="s">
        <v>627</v>
      </c>
      <c r="D367" s="1" t="s">
        <v>1509</v>
      </c>
      <c r="E367" s="1" t="s">
        <v>631</v>
      </c>
      <c r="F367" s="1" t="str">
        <f>D367&amp;" "&amp;E367</f>
        <v>ZIN MAR SHWE -</v>
      </c>
      <c r="G367" s="1" t="s">
        <v>1509</v>
      </c>
      <c r="H367" s="1" t="s">
        <v>631</v>
      </c>
      <c r="I367" s="1">
        <v>10691724</v>
      </c>
      <c r="J367" s="1" t="s">
        <v>45</v>
      </c>
      <c r="K367" s="2">
        <v>46026</v>
      </c>
      <c r="L367" s="1" t="s">
        <v>66</v>
      </c>
      <c r="M367" s="1" t="s">
        <v>48</v>
      </c>
      <c r="N367" s="1" t="s">
        <v>98</v>
      </c>
      <c r="O367" s="1" t="s">
        <v>466</v>
      </c>
      <c r="P367" s="1" t="s">
        <v>100</v>
      </c>
      <c r="Q367" s="1">
        <v>10358615</v>
      </c>
      <c r="R367" s="1" t="s">
        <v>1385</v>
      </c>
      <c r="S367" s="3" t="s">
        <v>1386</v>
      </c>
      <c r="T367" s="1" t="s">
        <v>52</v>
      </c>
      <c r="U367" s="1" t="s">
        <v>53</v>
      </c>
      <c r="V367" s="1" t="s">
        <v>54</v>
      </c>
      <c r="W367" s="1" t="s">
        <v>632</v>
      </c>
      <c r="X367" s="1">
        <v>1</v>
      </c>
      <c r="Y367" t="s">
        <v>1387</v>
      </c>
      <c r="AA367" s="10"/>
      <c r="AB367" s="10" t="s">
        <v>1448</v>
      </c>
      <c r="AC367" s="32" t="s">
        <v>76</v>
      </c>
      <c r="AF367" s="10" t="s">
        <v>59</v>
      </c>
      <c r="AI367" s="24">
        <v>0.33333333333333331</v>
      </c>
      <c r="AJ367" s="24">
        <v>0.70833333333333337</v>
      </c>
    </row>
    <row r="368" spans="1:36" ht="14.25" customHeight="1">
      <c r="A368">
        <v>311</v>
      </c>
      <c r="B368" s="1">
        <v>10666852</v>
      </c>
      <c r="C368" s="1" t="s">
        <v>415</v>
      </c>
      <c r="D368" s="1" t="s">
        <v>1510</v>
      </c>
      <c r="E368" s="1" t="s">
        <v>631</v>
      </c>
      <c r="F368" s="1" t="str">
        <f>D368&amp;" "&amp;E368</f>
        <v>NING OO -</v>
      </c>
      <c r="G368" s="1" t="s">
        <v>1510</v>
      </c>
      <c r="H368" s="1" t="s">
        <v>631</v>
      </c>
      <c r="I368" s="1">
        <v>10666852</v>
      </c>
      <c r="J368" s="1" t="s">
        <v>45</v>
      </c>
      <c r="K368" s="1" t="s">
        <v>877</v>
      </c>
      <c r="L368" s="1" t="s">
        <v>66</v>
      </c>
      <c r="M368" s="1" t="s">
        <v>48</v>
      </c>
      <c r="N368" s="1" t="s">
        <v>48</v>
      </c>
      <c r="O368" s="1" t="s">
        <v>878</v>
      </c>
      <c r="P368" s="1" t="s">
        <v>878</v>
      </c>
      <c r="Q368" s="1">
        <v>10405190</v>
      </c>
      <c r="R368" s="1" t="s">
        <v>1511</v>
      </c>
      <c r="S368" s="3" t="s">
        <v>1386</v>
      </c>
      <c r="T368" s="1" t="s">
        <v>52</v>
      </c>
      <c r="U368" s="1" t="s">
        <v>53</v>
      </c>
      <c r="V368" s="1" t="s">
        <v>54</v>
      </c>
      <c r="W368" s="1" t="s">
        <v>632</v>
      </c>
      <c r="X368" s="1">
        <v>1</v>
      </c>
      <c r="Y368" t="s">
        <v>1387</v>
      </c>
      <c r="AA368" s="10"/>
      <c r="AB368" s="10" t="s">
        <v>1448</v>
      </c>
      <c r="AC368" s="32" t="s">
        <v>212</v>
      </c>
      <c r="AF368" s="10" t="s">
        <v>59</v>
      </c>
      <c r="AI368" s="24">
        <v>0.33333333333333331</v>
      </c>
      <c r="AJ368" s="24">
        <v>0.70833333333333337</v>
      </c>
    </row>
    <row r="369" spans="1:36" ht="14.25" customHeight="1">
      <c r="A369">
        <v>310</v>
      </c>
      <c r="B369" s="1">
        <v>10666845</v>
      </c>
      <c r="C369" s="1" t="s">
        <v>415</v>
      </c>
      <c r="D369" s="1" t="s">
        <v>1512</v>
      </c>
      <c r="E369" s="1" t="s">
        <v>631</v>
      </c>
      <c r="F369" s="1" t="str">
        <f>D369&amp;" "&amp;E369</f>
        <v>MYO LIN OO -</v>
      </c>
      <c r="G369" s="1" t="s">
        <v>1512</v>
      </c>
      <c r="H369" s="1" t="s">
        <v>631</v>
      </c>
      <c r="I369" s="1">
        <v>10666845</v>
      </c>
      <c r="J369" s="1" t="s">
        <v>45</v>
      </c>
      <c r="K369" s="1" t="s">
        <v>877</v>
      </c>
      <c r="L369" s="1" t="s">
        <v>66</v>
      </c>
      <c r="M369" s="1" t="s">
        <v>48</v>
      </c>
      <c r="N369" s="1" t="s">
        <v>48</v>
      </c>
      <c r="O369" s="1" t="s">
        <v>878</v>
      </c>
      <c r="P369" s="1" t="s">
        <v>878</v>
      </c>
      <c r="Q369" s="1">
        <v>10358629</v>
      </c>
      <c r="R369" s="1" t="s">
        <v>944</v>
      </c>
      <c r="S369" s="3" t="s">
        <v>1386</v>
      </c>
      <c r="T369" s="1" t="s">
        <v>52</v>
      </c>
      <c r="U369" s="1" t="s">
        <v>53</v>
      </c>
      <c r="V369" s="1" t="s">
        <v>54</v>
      </c>
      <c r="W369" s="1" t="s">
        <v>632</v>
      </c>
      <c r="X369" s="1">
        <v>1</v>
      </c>
      <c r="Y369" t="s">
        <v>1387</v>
      </c>
      <c r="AA369" s="10"/>
      <c r="AB369" s="10" t="s">
        <v>1448</v>
      </c>
      <c r="AC369" s="32" t="s">
        <v>76</v>
      </c>
      <c r="AF369" s="10" t="s">
        <v>59</v>
      </c>
      <c r="AI369" s="24">
        <v>0.33333333333333331</v>
      </c>
      <c r="AJ369" s="24">
        <v>0.70833333333333337</v>
      </c>
    </row>
    <row r="370" spans="1:36" ht="14.25" customHeight="1">
      <c r="A370">
        <v>167</v>
      </c>
      <c r="B370" s="1">
        <v>10602917</v>
      </c>
      <c r="C370" s="1" t="s">
        <v>39</v>
      </c>
      <c r="D370" s="1" t="s">
        <v>1513</v>
      </c>
      <c r="E370" s="1" t="s">
        <v>1514</v>
      </c>
      <c r="F370" s="1" t="str">
        <f>D370&amp;" "&amp;E370</f>
        <v>สมัชญา โทสุวรรณ์</v>
      </c>
      <c r="G370" s="1" t="s">
        <v>1515</v>
      </c>
      <c r="H370" s="1" t="s">
        <v>1516</v>
      </c>
      <c r="I370" s="1">
        <v>10602917</v>
      </c>
      <c r="J370" s="1" t="s">
        <v>45</v>
      </c>
      <c r="K370" s="2">
        <v>45295</v>
      </c>
      <c r="L370" s="1" t="s">
        <v>66</v>
      </c>
      <c r="M370" s="1" t="s">
        <v>48</v>
      </c>
      <c r="N370" s="1" t="s">
        <v>48</v>
      </c>
      <c r="O370" s="1" t="s">
        <v>551</v>
      </c>
      <c r="P370" s="1" t="s">
        <v>551</v>
      </c>
      <c r="Q370" s="1">
        <v>10288743</v>
      </c>
      <c r="R370" s="1" t="s">
        <v>1517</v>
      </c>
      <c r="S370" s="3" t="s">
        <v>1386</v>
      </c>
      <c r="T370" s="1" t="s">
        <v>52</v>
      </c>
      <c r="U370" s="1" t="s">
        <v>53</v>
      </c>
      <c r="V370" s="1" t="s">
        <v>54</v>
      </c>
      <c r="W370" s="1" t="s">
        <v>55</v>
      </c>
      <c r="X370" s="1">
        <v>1</v>
      </c>
      <c r="Y370" t="s">
        <v>1387</v>
      </c>
      <c r="AA370" s="10"/>
      <c r="AB370" s="10" t="s">
        <v>1110</v>
      </c>
      <c r="AC370" s="32" t="s">
        <v>76</v>
      </c>
      <c r="AD370" t="s">
        <v>993</v>
      </c>
      <c r="AF370" s="10" t="s">
        <v>59</v>
      </c>
      <c r="AI370" s="30">
        <v>0.33333333333333331</v>
      </c>
      <c r="AJ370" s="30">
        <v>0.70833333333333337</v>
      </c>
    </row>
    <row r="371" spans="1:36" ht="14.25" customHeight="1">
      <c r="A371">
        <v>99</v>
      </c>
      <c r="B371" s="1">
        <v>10506552</v>
      </c>
      <c r="C371" s="1" t="s">
        <v>60</v>
      </c>
      <c r="D371" s="1" t="s">
        <v>1518</v>
      </c>
      <c r="E371" s="1" t="s">
        <v>383</v>
      </c>
      <c r="F371" s="1" t="str">
        <f>D371&amp;" "&amp;E371</f>
        <v>ศิริรัตน์ โพธิ์ศรี</v>
      </c>
      <c r="G371" s="1" t="s">
        <v>1519</v>
      </c>
      <c r="H371" s="1" t="s">
        <v>507</v>
      </c>
      <c r="I371" s="1">
        <v>10506552</v>
      </c>
      <c r="J371" s="1" t="s">
        <v>45</v>
      </c>
      <c r="K371" s="1" t="s">
        <v>1073</v>
      </c>
      <c r="L371" s="1" t="s">
        <v>66</v>
      </c>
      <c r="M371" s="1" t="s">
        <v>48</v>
      </c>
      <c r="N371" s="1" t="s">
        <v>48</v>
      </c>
      <c r="O371" s="1" t="s">
        <v>1074</v>
      </c>
      <c r="P371" s="1" t="s">
        <v>1074</v>
      </c>
      <c r="Q371" s="1">
        <v>10288743</v>
      </c>
      <c r="R371" s="1" t="s">
        <v>1517</v>
      </c>
      <c r="S371" s="3" t="s">
        <v>1386</v>
      </c>
      <c r="T371" s="1" t="s">
        <v>52</v>
      </c>
      <c r="U371" s="1" t="s">
        <v>53</v>
      </c>
      <c r="V371" s="1" t="s">
        <v>54</v>
      </c>
      <c r="W371" s="1" t="s">
        <v>55</v>
      </c>
      <c r="X371" s="1">
        <v>1</v>
      </c>
      <c r="Y371" t="s">
        <v>1387</v>
      </c>
      <c r="AA371" s="10"/>
      <c r="AB371" s="10" t="s">
        <v>1110</v>
      </c>
      <c r="AC371" s="32" t="s">
        <v>212</v>
      </c>
      <c r="AF371" s="10" t="s">
        <v>59</v>
      </c>
      <c r="AI371" s="24">
        <v>0.33333333333333331</v>
      </c>
      <c r="AJ371" s="24">
        <v>0.70833333333333337</v>
      </c>
    </row>
    <row r="372" spans="1:36" ht="14.25" customHeight="1">
      <c r="A372">
        <v>231</v>
      </c>
      <c r="B372" s="1">
        <v>10653643</v>
      </c>
      <c r="C372" s="1" t="s">
        <v>39</v>
      </c>
      <c r="D372" s="1" t="s">
        <v>1520</v>
      </c>
      <c r="E372" s="1" t="s">
        <v>1521</v>
      </c>
      <c r="F372" s="1" t="str">
        <f>D372&amp;" "&amp;E372</f>
        <v>ภัทรา บุญวงศ์</v>
      </c>
      <c r="G372" s="1" t="s">
        <v>1522</v>
      </c>
      <c r="H372" s="1" t="s">
        <v>1523</v>
      </c>
      <c r="I372" s="1">
        <v>10653643</v>
      </c>
      <c r="J372" s="1" t="s">
        <v>45</v>
      </c>
      <c r="K372" s="2">
        <v>45664</v>
      </c>
      <c r="L372" s="1" t="s">
        <v>66</v>
      </c>
      <c r="M372" s="1" t="s">
        <v>48</v>
      </c>
      <c r="N372" s="1" t="s">
        <v>48</v>
      </c>
      <c r="O372" s="1" t="s">
        <v>89</v>
      </c>
      <c r="P372" s="1" t="s">
        <v>89</v>
      </c>
      <c r="Q372" s="1">
        <v>10288743</v>
      </c>
      <c r="R372" s="1" t="s">
        <v>1517</v>
      </c>
      <c r="S372" s="3" t="s">
        <v>1386</v>
      </c>
      <c r="T372" s="1" t="s">
        <v>52</v>
      </c>
      <c r="U372" s="1" t="s">
        <v>53</v>
      </c>
      <c r="V372" s="1" t="s">
        <v>54</v>
      </c>
      <c r="W372" s="1" t="s">
        <v>55</v>
      </c>
      <c r="X372" s="1">
        <v>1</v>
      </c>
      <c r="Y372" t="s">
        <v>1387</v>
      </c>
      <c r="AA372" s="10"/>
      <c r="AB372" s="10" t="s">
        <v>1110</v>
      </c>
      <c r="AC372" s="32" t="s">
        <v>76</v>
      </c>
      <c r="AF372" s="10" t="s">
        <v>59</v>
      </c>
      <c r="AI372" s="24">
        <v>0.33333333333333331</v>
      </c>
      <c r="AJ372" s="24">
        <v>0.70833333333333337</v>
      </c>
    </row>
    <row r="373" spans="1:36" ht="14.25" customHeight="1">
      <c r="A373">
        <v>79</v>
      </c>
      <c r="B373" s="1">
        <v>10429682</v>
      </c>
      <c r="C373" s="1" t="s">
        <v>39</v>
      </c>
      <c r="D373" s="1" t="s">
        <v>1524</v>
      </c>
      <c r="E373" s="1" t="s">
        <v>1525</v>
      </c>
      <c r="F373" s="1" t="str">
        <f>D373&amp;" "&amp;E373</f>
        <v>นุชสรา ผิวเณร</v>
      </c>
      <c r="G373" s="1" t="s">
        <v>1526</v>
      </c>
      <c r="H373" s="1" t="s">
        <v>1527</v>
      </c>
      <c r="I373" s="1">
        <v>10429682</v>
      </c>
      <c r="J373" s="1" t="s">
        <v>45</v>
      </c>
      <c r="K373" s="2">
        <v>44203</v>
      </c>
      <c r="L373" s="1" t="s">
        <v>66</v>
      </c>
      <c r="M373" s="1" t="s">
        <v>48</v>
      </c>
      <c r="N373" s="1" t="s">
        <v>48</v>
      </c>
      <c r="O373" s="1" t="s">
        <v>1528</v>
      </c>
      <c r="P373" s="1" t="s">
        <v>1528</v>
      </c>
      <c r="Q373" s="1">
        <v>10288743</v>
      </c>
      <c r="R373" s="1" t="s">
        <v>1517</v>
      </c>
      <c r="S373" s="3" t="s">
        <v>1386</v>
      </c>
      <c r="T373" s="1" t="s">
        <v>52</v>
      </c>
      <c r="U373" s="1" t="s">
        <v>53</v>
      </c>
      <c r="V373" s="1" t="s">
        <v>54</v>
      </c>
      <c r="W373" s="1" t="s">
        <v>55</v>
      </c>
      <c r="X373" s="1">
        <v>1</v>
      </c>
      <c r="Y373" t="s">
        <v>1387</v>
      </c>
      <c r="AA373" s="10"/>
      <c r="AB373" s="10" t="s">
        <v>1110</v>
      </c>
      <c r="AC373" s="32" t="s">
        <v>58</v>
      </c>
      <c r="AF373" s="10" t="s">
        <v>59</v>
      </c>
      <c r="AI373" s="24">
        <v>0.33333333333333331</v>
      </c>
      <c r="AJ373" s="24">
        <v>0.70833333333333337</v>
      </c>
    </row>
    <row r="374" spans="1:36" ht="14.25" customHeight="1">
      <c r="A374">
        <v>194</v>
      </c>
      <c r="B374" s="1">
        <v>10621533</v>
      </c>
      <c r="C374" s="1" t="s">
        <v>39</v>
      </c>
      <c r="D374" s="1" t="s">
        <v>1529</v>
      </c>
      <c r="E374" s="1" t="s">
        <v>1530</v>
      </c>
      <c r="F374" s="1" t="str">
        <f>D374&amp;" "&amp;E374</f>
        <v>น้ำฝน สงวนนาม</v>
      </c>
      <c r="G374" s="1" t="s">
        <v>1531</v>
      </c>
      <c r="H374" s="1" t="s">
        <v>1532</v>
      </c>
      <c r="I374" s="1">
        <v>10621533</v>
      </c>
      <c r="J374" s="1" t="s">
        <v>45</v>
      </c>
      <c r="K374" s="1" t="s">
        <v>508</v>
      </c>
      <c r="L374" s="1" t="s">
        <v>66</v>
      </c>
      <c r="M374" s="1" t="s">
        <v>48</v>
      </c>
      <c r="N374" s="1" t="s">
        <v>48</v>
      </c>
      <c r="O374" s="1" t="s">
        <v>509</v>
      </c>
      <c r="P374" s="1" t="s">
        <v>509</v>
      </c>
      <c r="Q374" s="1">
        <v>10358628</v>
      </c>
      <c r="R374" s="1" t="s">
        <v>981</v>
      </c>
      <c r="S374" s="3" t="s">
        <v>1386</v>
      </c>
      <c r="T374" s="1" t="s">
        <v>52</v>
      </c>
      <c r="U374" s="1" t="s">
        <v>53</v>
      </c>
      <c r="V374" s="1" t="s">
        <v>54</v>
      </c>
      <c r="W374" s="1" t="s">
        <v>55</v>
      </c>
      <c r="X374" s="1">
        <v>1</v>
      </c>
      <c r="Y374" t="s">
        <v>1387</v>
      </c>
      <c r="AA374" s="10"/>
      <c r="AB374" s="10" t="s">
        <v>1110</v>
      </c>
      <c r="AC374" s="32" t="s">
        <v>58</v>
      </c>
      <c r="AF374" s="10" t="s">
        <v>59</v>
      </c>
      <c r="AI374" s="24">
        <v>0.33333333333333331</v>
      </c>
      <c r="AJ374" s="24">
        <v>0.70833333333333337</v>
      </c>
    </row>
    <row r="375" spans="1:36" ht="14.25" customHeight="1">
      <c r="A375">
        <v>284</v>
      </c>
      <c r="B375" s="1">
        <v>10661955</v>
      </c>
      <c r="C375" s="1" t="s">
        <v>92</v>
      </c>
      <c r="D375" s="1" t="s">
        <v>1533</v>
      </c>
      <c r="E375" s="1" t="s">
        <v>1534</v>
      </c>
      <c r="F375" s="1" t="str">
        <f>D375&amp;" "&amp;E375</f>
        <v>ธีร์ธวัช พัสกุล</v>
      </c>
      <c r="G375" s="1" t="s">
        <v>1535</v>
      </c>
      <c r="H375" s="1" t="s">
        <v>1536</v>
      </c>
      <c r="I375" s="1">
        <v>10661955</v>
      </c>
      <c r="J375" s="1" t="s">
        <v>45</v>
      </c>
      <c r="K375" s="1" t="s">
        <v>711</v>
      </c>
      <c r="L375" s="1" t="s">
        <v>66</v>
      </c>
      <c r="M375" s="1" t="s">
        <v>48</v>
      </c>
      <c r="N375" s="1" t="s">
        <v>48</v>
      </c>
      <c r="O375" s="1" t="s">
        <v>712</v>
      </c>
      <c r="P375" s="1" t="s">
        <v>712</v>
      </c>
      <c r="Q375" s="1">
        <v>10288743</v>
      </c>
      <c r="R375" s="1" t="s">
        <v>1517</v>
      </c>
      <c r="S375" s="3" t="s">
        <v>1386</v>
      </c>
      <c r="T375" s="1" t="s">
        <v>52</v>
      </c>
      <c r="U375" s="1" t="s">
        <v>53</v>
      </c>
      <c r="V375" s="1" t="s">
        <v>54</v>
      </c>
      <c r="W375" s="1" t="s">
        <v>55</v>
      </c>
      <c r="X375" s="1">
        <v>1</v>
      </c>
      <c r="Y375" t="s">
        <v>1387</v>
      </c>
      <c r="AA375" s="10"/>
      <c r="AB375" s="10" t="s">
        <v>1110</v>
      </c>
      <c r="AC375" s="32" t="s">
        <v>212</v>
      </c>
      <c r="AF375" s="10" t="s">
        <v>59</v>
      </c>
      <c r="AI375" s="24">
        <v>0.33333333333333331</v>
      </c>
      <c r="AJ375" s="24">
        <v>0.70833333333333337</v>
      </c>
    </row>
    <row r="376" spans="1:36" ht="14.25" customHeight="1">
      <c r="A376">
        <v>10</v>
      </c>
      <c r="B376" s="1">
        <v>10290692</v>
      </c>
      <c r="C376" s="1" t="s">
        <v>60</v>
      </c>
      <c r="D376" s="1" t="s">
        <v>1537</v>
      </c>
      <c r="E376" s="1" t="s">
        <v>1538</v>
      </c>
      <c r="F376" s="1" t="str">
        <f>D376&amp;" "&amp;E376</f>
        <v>ธิราทิพย์ นิยมทอง</v>
      </c>
      <c r="G376" s="1" t="s">
        <v>1539</v>
      </c>
      <c r="H376" s="1" t="s">
        <v>1540</v>
      </c>
      <c r="I376" s="1" t="s">
        <v>1541</v>
      </c>
      <c r="J376" s="1" t="s">
        <v>45</v>
      </c>
      <c r="K376" s="2">
        <v>42380</v>
      </c>
      <c r="L376" s="1" t="s">
        <v>47</v>
      </c>
      <c r="M376" s="1" t="s">
        <v>48</v>
      </c>
      <c r="N376" s="1" t="s">
        <v>48</v>
      </c>
      <c r="O376" s="1" t="s">
        <v>1542</v>
      </c>
      <c r="P376" s="1" t="s">
        <v>1542</v>
      </c>
      <c r="Q376" s="1">
        <v>10405230</v>
      </c>
      <c r="R376" s="1" t="s">
        <v>1543</v>
      </c>
      <c r="S376" s="3" t="s">
        <v>1386</v>
      </c>
      <c r="T376" s="1" t="s">
        <v>52</v>
      </c>
      <c r="U376" s="1" t="s">
        <v>53</v>
      </c>
      <c r="V376" s="1" t="s">
        <v>54</v>
      </c>
      <c r="W376" s="1" t="s">
        <v>55</v>
      </c>
      <c r="X376" s="1">
        <v>1</v>
      </c>
      <c r="Y376" t="s">
        <v>1387</v>
      </c>
      <c r="AA376" s="10"/>
      <c r="AB376" s="10" t="s">
        <v>1110</v>
      </c>
      <c r="AC376" s="32" t="s">
        <v>212</v>
      </c>
      <c r="AF376" s="10" t="s">
        <v>59</v>
      </c>
      <c r="AI376" s="24">
        <v>0.33333333333333331</v>
      </c>
      <c r="AJ376" s="24">
        <v>0.70833333333333337</v>
      </c>
    </row>
    <row r="377" spans="1:36" ht="14.25" customHeight="1">
      <c r="A377">
        <v>86</v>
      </c>
      <c r="B377" s="1">
        <v>10433259</v>
      </c>
      <c r="C377" s="1" t="s">
        <v>92</v>
      </c>
      <c r="D377" s="1" t="s">
        <v>1544</v>
      </c>
      <c r="E377" s="1" t="s">
        <v>1545</v>
      </c>
      <c r="F377" s="1" t="str">
        <f>D377&amp;" "&amp;E377</f>
        <v>ดิษฐวัฒน์ ทองคำพุฒิพัฒน์</v>
      </c>
      <c r="G377" s="1" t="s">
        <v>1546</v>
      </c>
      <c r="H377" s="1" t="s">
        <v>1547</v>
      </c>
      <c r="I377" s="1">
        <v>10433259</v>
      </c>
      <c r="J377" s="1" t="s">
        <v>45</v>
      </c>
      <c r="K377" s="2">
        <v>44206</v>
      </c>
      <c r="L377" s="1" t="s">
        <v>66</v>
      </c>
      <c r="M377" s="1" t="s">
        <v>48</v>
      </c>
      <c r="N377" s="1" t="s">
        <v>48</v>
      </c>
      <c r="O377" s="1" t="s">
        <v>1548</v>
      </c>
      <c r="P377" s="1" t="s">
        <v>1548</v>
      </c>
      <c r="Q377" s="1">
        <v>10288743</v>
      </c>
      <c r="R377" s="1" t="s">
        <v>1517</v>
      </c>
      <c r="S377" s="3" t="s">
        <v>1386</v>
      </c>
      <c r="T377" s="1" t="s">
        <v>52</v>
      </c>
      <c r="U377" s="1" t="s">
        <v>53</v>
      </c>
      <c r="V377" s="1" t="s">
        <v>54</v>
      </c>
      <c r="W377" s="1" t="s">
        <v>55</v>
      </c>
      <c r="X377" s="1">
        <v>1</v>
      </c>
      <c r="Y377" t="s">
        <v>1387</v>
      </c>
      <c r="AA377" s="10"/>
      <c r="AB377" s="10" t="s">
        <v>1110</v>
      </c>
      <c r="AC377" s="32" t="s">
        <v>58</v>
      </c>
      <c r="AF377" s="10" t="s">
        <v>59</v>
      </c>
      <c r="AI377" s="24">
        <v>0.33333333333333331</v>
      </c>
      <c r="AJ377" s="24">
        <v>0.70833333333333337</v>
      </c>
    </row>
    <row r="378" spans="1:36" ht="14.25" customHeight="1">
      <c r="A378">
        <v>77</v>
      </c>
      <c r="B378" s="1">
        <v>10425241</v>
      </c>
      <c r="C378" s="1" t="s">
        <v>39</v>
      </c>
      <c r="D378" s="1" t="s">
        <v>1549</v>
      </c>
      <c r="E378" s="1" t="s">
        <v>1550</v>
      </c>
      <c r="F378" s="1" t="str">
        <f>D378&amp;" "&amp;E378</f>
        <v>เฉลียว จิตตะคาม</v>
      </c>
      <c r="G378" s="1" t="s">
        <v>1551</v>
      </c>
      <c r="H378" s="1" t="s">
        <v>1552</v>
      </c>
      <c r="I378" s="1">
        <v>10425241</v>
      </c>
      <c r="J378" s="1" t="s">
        <v>45</v>
      </c>
      <c r="K378" s="2">
        <v>44474</v>
      </c>
      <c r="L378" s="1" t="s">
        <v>66</v>
      </c>
      <c r="M378" s="1" t="s">
        <v>48</v>
      </c>
      <c r="N378" s="1" t="s">
        <v>48</v>
      </c>
      <c r="O378" s="2">
        <v>44356</v>
      </c>
      <c r="P378" s="2">
        <v>44356</v>
      </c>
      <c r="Q378" s="1">
        <v>10288743</v>
      </c>
      <c r="R378" s="1" t="s">
        <v>1517</v>
      </c>
      <c r="S378" s="3" t="s">
        <v>1386</v>
      </c>
      <c r="T378" s="1" t="s">
        <v>52</v>
      </c>
      <c r="U378" s="1" t="s">
        <v>53</v>
      </c>
      <c r="V378" s="1" t="s">
        <v>54</v>
      </c>
      <c r="W378" s="1" t="s">
        <v>55</v>
      </c>
      <c r="X378" s="1">
        <v>1</v>
      </c>
      <c r="Y378" t="s">
        <v>1387</v>
      </c>
      <c r="AA378" s="10"/>
      <c r="AB378" s="10" t="s">
        <v>1110</v>
      </c>
      <c r="AC378" s="32" t="s">
        <v>138</v>
      </c>
      <c r="AF378" s="10" t="s">
        <v>59</v>
      </c>
      <c r="AI378" s="24">
        <v>0.33333333333333331</v>
      </c>
      <c r="AJ378" s="24">
        <v>0.70833333333333337</v>
      </c>
    </row>
    <row r="379" spans="1:36" ht="14.25" customHeight="1">
      <c r="A379">
        <v>152</v>
      </c>
      <c r="B379" s="1">
        <v>10572344</v>
      </c>
      <c r="C379" s="1" t="s">
        <v>39</v>
      </c>
      <c r="D379" s="1" t="s">
        <v>1553</v>
      </c>
      <c r="E379" s="1" t="s">
        <v>1554</v>
      </c>
      <c r="F379" s="1" t="str">
        <f>D379&amp;" "&amp;E379</f>
        <v>จิราพรรณ เทียนทอง</v>
      </c>
      <c r="G379" s="1" t="s">
        <v>1555</v>
      </c>
      <c r="H379" s="1" t="s">
        <v>1556</v>
      </c>
      <c r="I379" s="1">
        <v>10572344</v>
      </c>
      <c r="J379" s="1" t="s">
        <v>45</v>
      </c>
      <c r="K379" s="2">
        <v>44967</v>
      </c>
      <c r="L379" s="1" t="s">
        <v>66</v>
      </c>
      <c r="M379" s="1" t="s">
        <v>48</v>
      </c>
      <c r="N379" s="1" t="s">
        <v>48</v>
      </c>
      <c r="O379" s="1" t="s">
        <v>1430</v>
      </c>
      <c r="P379" s="1" t="s">
        <v>1430</v>
      </c>
      <c r="Q379" s="1">
        <v>10358629</v>
      </c>
      <c r="R379" s="1" t="s">
        <v>944</v>
      </c>
      <c r="S379" s="3" t="s">
        <v>1386</v>
      </c>
      <c r="T379" s="1" t="s">
        <v>52</v>
      </c>
      <c r="U379" s="1" t="s">
        <v>53</v>
      </c>
      <c r="V379" s="1" t="s">
        <v>54</v>
      </c>
      <c r="W379" s="1" t="s">
        <v>55</v>
      </c>
      <c r="X379" s="1">
        <v>1</v>
      </c>
      <c r="Y379" t="s">
        <v>1387</v>
      </c>
      <c r="AA379" s="10"/>
      <c r="AB379" s="10" t="s">
        <v>1110</v>
      </c>
      <c r="AC379" s="32" t="s">
        <v>69</v>
      </c>
      <c r="AF379" s="10" t="s">
        <v>59</v>
      </c>
      <c r="AI379" s="24">
        <v>0.33333333333333331</v>
      </c>
      <c r="AJ379" s="24">
        <v>0.70833333333333337</v>
      </c>
    </row>
    <row r="380" spans="1:36" ht="14.25" customHeight="1">
      <c r="A380">
        <v>218</v>
      </c>
      <c r="B380" s="1">
        <v>10643191</v>
      </c>
      <c r="C380" s="1" t="s">
        <v>39</v>
      </c>
      <c r="D380" s="1" t="s">
        <v>1319</v>
      </c>
      <c r="E380" s="1" t="s">
        <v>1445</v>
      </c>
      <c r="F380" s="1" t="str">
        <f>D380&amp;" "&amp;E380</f>
        <v>ขนิษฐา หนูประเสริฐ</v>
      </c>
      <c r="G380" s="1" t="s">
        <v>1557</v>
      </c>
      <c r="H380" s="1" t="s">
        <v>1558</v>
      </c>
      <c r="I380" s="1">
        <v>10643191</v>
      </c>
      <c r="J380" s="1" t="s">
        <v>45</v>
      </c>
      <c r="K380" s="2">
        <v>45661</v>
      </c>
      <c r="L380" s="1" t="s">
        <v>66</v>
      </c>
      <c r="M380" s="1" t="s">
        <v>48</v>
      </c>
      <c r="N380" s="1" t="s">
        <v>48</v>
      </c>
      <c r="O380" s="1" t="s">
        <v>174</v>
      </c>
      <c r="P380" s="1" t="s">
        <v>174</v>
      </c>
      <c r="Q380" s="1">
        <v>10288743</v>
      </c>
      <c r="R380" s="1" t="s">
        <v>1517</v>
      </c>
      <c r="S380" s="3" t="s">
        <v>1386</v>
      </c>
      <c r="T380" s="1" t="s">
        <v>52</v>
      </c>
      <c r="U380" s="1" t="s">
        <v>53</v>
      </c>
      <c r="V380" s="1" t="s">
        <v>54</v>
      </c>
      <c r="W380" s="1" t="s">
        <v>55</v>
      </c>
      <c r="X380" s="1">
        <v>1</v>
      </c>
      <c r="Y380" t="s">
        <v>1387</v>
      </c>
      <c r="AA380" s="10"/>
      <c r="AB380" s="10" t="s">
        <v>1110</v>
      </c>
      <c r="AC380" s="32" t="s">
        <v>91</v>
      </c>
      <c r="AF380" s="10" t="s">
        <v>59</v>
      </c>
      <c r="AI380" s="24">
        <v>0.33333333333333331</v>
      </c>
      <c r="AJ380" s="24">
        <v>0.70833333333333337</v>
      </c>
    </row>
    <row r="381" spans="1:36" ht="14.25" customHeight="1">
      <c r="A381">
        <v>374</v>
      </c>
      <c r="B381" s="1">
        <v>10685880</v>
      </c>
      <c r="C381" s="1" t="s">
        <v>415</v>
      </c>
      <c r="D381" s="1" t="s">
        <v>1559</v>
      </c>
      <c r="E381" s="1" t="s">
        <v>631</v>
      </c>
      <c r="F381" s="1" t="str">
        <f>D381&amp;" "&amp;E381</f>
        <v>SOE AUNG -</v>
      </c>
      <c r="G381" s="1" t="s">
        <v>1559</v>
      </c>
      <c r="H381" s="1" t="s">
        <v>631</v>
      </c>
      <c r="I381" s="1">
        <v>10685880</v>
      </c>
      <c r="J381" s="1" t="s">
        <v>45</v>
      </c>
      <c r="K381" s="2">
        <v>46145</v>
      </c>
      <c r="L381" s="1" t="s">
        <v>66</v>
      </c>
      <c r="M381" s="1" t="s">
        <v>48</v>
      </c>
      <c r="N381" s="1" t="s">
        <v>98</v>
      </c>
      <c r="O381" s="2">
        <v>46060</v>
      </c>
      <c r="P381" s="1" t="s">
        <v>100</v>
      </c>
      <c r="Q381" s="1">
        <v>10358591</v>
      </c>
      <c r="R381" s="1" t="s">
        <v>921</v>
      </c>
      <c r="S381" s="3" t="s">
        <v>1386</v>
      </c>
      <c r="T381" s="1" t="s">
        <v>52</v>
      </c>
      <c r="U381" s="1" t="s">
        <v>53</v>
      </c>
      <c r="V381" s="1" t="s">
        <v>54</v>
      </c>
      <c r="W381" s="1" t="s">
        <v>632</v>
      </c>
      <c r="X381" s="1">
        <v>1</v>
      </c>
      <c r="Y381" t="s">
        <v>1387</v>
      </c>
      <c r="AA381" s="10"/>
      <c r="AB381" s="10" t="s">
        <v>1110</v>
      </c>
      <c r="AC381" s="32" t="s">
        <v>76</v>
      </c>
      <c r="AD381" t="s">
        <v>993</v>
      </c>
      <c r="AF381" s="10" t="s">
        <v>59</v>
      </c>
      <c r="AI381" s="30">
        <v>0.33333333333333331</v>
      </c>
      <c r="AJ381" s="30">
        <v>0.70833333333333337</v>
      </c>
    </row>
    <row r="382" spans="1:36" ht="14.25" customHeight="1">
      <c r="A382">
        <v>382</v>
      </c>
      <c r="B382" s="1">
        <v>10685921</v>
      </c>
      <c r="C382" s="1" t="s">
        <v>627</v>
      </c>
      <c r="D382" s="1" t="s">
        <v>1560</v>
      </c>
      <c r="E382" s="1" t="s">
        <v>631</v>
      </c>
      <c r="F382" s="1" t="str">
        <f>D382&amp;" "&amp;E382</f>
        <v>NAN EI MY AING -</v>
      </c>
      <c r="G382" s="1" t="s">
        <v>1560</v>
      </c>
      <c r="H382" s="1" t="s">
        <v>631</v>
      </c>
      <c r="I382" s="1">
        <v>10685921</v>
      </c>
      <c r="J382" s="1" t="s">
        <v>45</v>
      </c>
      <c r="K382" s="2">
        <v>46268</v>
      </c>
      <c r="L382" s="1" t="s">
        <v>66</v>
      </c>
      <c r="M382" s="1" t="s">
        <v>48</v>
      </c>
      <c r="N382" s="1" t="s">
        <v>98</v>
      </c>
      <c r="O382" s="2">
        <v>46180</v>
      </c>
      <c r="P382" s="1" t="s">
        <v>100</v>
      </c>
      <c r="Q382" s="1">
        <v>10358591</v>
      </c>
      <c r="R382" s="1" t="s">
        <v>921</v>
      </c>
      <c r="S382" s="3" t="s">
        <v>1386</v>
      </c>
      <c r="T382" s="1" t="s">
        <v>52</v>
      </c>
      <c r="U382" s="1" t="s">
        <v>53</v>
      </c>
      <c r="V382" s="1" t="s">
        <v>54</v>
      </c>
      <c r="W382" s="1" t="s">
        <v>632</v>
      </c>
      <c r="X382" s="1">
        <v>1</v>
      </c>
      <c r="Y382" t="s">
        <v>1387</v>
      </c>
      <c r="AA382" s="10"/>
      <c r="AB382" s="10" t="s">
        <v>1110</v>
      </c>
      <c r="AC382" s="32" t="s">
        <v>84</v>
      </c>
      <c r="AF382" s="10" t="s">
        <v>59</v>
      </c>
      <c r="AI382" s="24">
        <v>0.33333333333333331</v>
      </c>
      <c r="AJ382" s="24">
        <v>0.70833333333333337</v>
      </c>
    </row>
    <row r="383" spans="1:36" ht="14.25" customHeight="1">
      <c r="A383">
        <v>317</v>
      </c>
      <c r="B383" s="1">
        <v>10668106</v>
      </c>
      <c r="C383" s="1" t="s">
        <v>415</v>
      </c>
      <c r="D383" s="1" t="s">
        <v>1561</v>
      </c>
      <c r="E383" s="1" t="s">
        <v>631</v>
      </c>
      <c r="F383" s="1" t="str">
        <f>D383&amp;" "&amp;E383</f>
        <v>KATA KYAW -</v>
      </c>
      <c r="G383" s="1" t="s">
        <v>1561</v>
      </c>
      <c r="H383" s="1" t="s">
        <v>631</v>
      </c>
      <c r="I383" s="1">
        <v>10668106</v>
      </c>
      <c r="J383" s="1" t="s">
        <v>45</v>
      </c>
      <c r="K383" s="2">
        <v>45667</v>
      </c>
      <c r="L383" s="1" t="s">
        <v>66</v>
      </c>
      <c r="M383" s="1" t="s">
        <v>48</v>
      </c>
      <c r="N383" s="1" t="s">
        <v>48</v>
      </c>
      <c r="O383" s="1" t="s">
        <v>936</v>
      </c>
      <c r="P383" s="1" t="s">
        <v>936</v>
      </c>
      <c r="Q383" s="1">
        <v>10358629</v>
      </c>
      <c r="R383" s="1" t="s">
        <v>944</v>
      </c>
      <c r="S383" s="3" t="s">
        <v>1386</v>
      </c>
      <c r="T383" s="1" t="s">
        <v>52</v>
      </c>
      <c r="U383" s="1" t="s">
        <v>53</v>
      </c>
      <c r="V383" s="1" t="s">
        <v>54</v>
      </c>
      <c r="W383" s="1" t="s">
        <v>632</v>
      </c>
      <c r="X383" s="1">
        <v>1</v>
      </c>
      <c r="Y383" t="s">
        <v>1387</v>
      </c>
      <c r="AA383" s="10"/>
      <c r="AB383" s="10" t="s">
        <v>1110</v>
      </c>
      <c r="AC383" s="32" t="s">
        <v>138</v>
      </c>
      <c r="AF383" s="10" t="s">
        <v>59</v>
      </c>
      <c r="AI383" s="24">
        <v>0.33333333333333331</v>
      </c>
      <c r="AJ383" s="24">
        <v>0.70833333333333337</v>
      </c>
    </row>
    <row r="384" spans="1:36" ht="14.25" customHeight="1">
      <c r="A384">
        <v>207</v>
      </c>
      <c r="B384" s="1">
        <v>10635321</v>
      </c>
      <c r="C384" s="1" t="s">
        <v>92</v>
      </c>
      <c r="D384" s="1" t="s">
        <v>1562</v>
      </c>
      <c r="E384" s="1" t="s">
        <v>323</v>
      </c>
      <c r="F384" s="1" t="str">
        <f>D384&amp;" "&amp;E384</f>
        <v>อานนท์ เลิศมะเลา</v>
      </c>
      <c r="G384" s="1" t="s">
        <v>1563</v>
      </c>
      <c r="H384" s="1" t="s">
        <v>1564</v>
      </c>
      <c r="I384" s="1">
        <v>10635321</v>
      </c>
      <c r="J384" s="1" t="s">
        <v>45</v>
      </c>
      <c r="K384" s="2">
        <v>45718</v>
      </c>
      <c r="L384" s="1" t="s">
        <v>66</v>
      </c>
      <c r="M384" s="1" t="s">
        <v>48</v>
      </c>
      <c r="N384" s="1" t="s">
        <v>48</v>
      </c>
      <c r="O384" s="2">
        <v>45694</v>
      </c>
      <c r="P384" s="2">
        <v>45694</v>
      </c>
      <c r="Q384" s="1">
        <v>10358612</v>
      </c>
      <c r="R384" s="1" t="s">
        <v>1565</v>
      </c>
      <c r="S384" s="3" t="s">
        <v>1386</v>
      </c>
      <c r="T384" s="1" t="s">
        <v>52</v>
      </c>
      <c r="U384" s="1" t="s">
        <v>53</v>
      </c>
      <c r="V384" s="1" t="s">
        <v>54</v>
      </c>
      <c r="W384" s="1" t="s">
        <v>55</v>
      </c>
      <c r="X384" s="1">
        <v>1</v>
      </c>
      <c r="Y384" t="s">
        <v>1387</v>
      </c>
      <c r="AA384" s="10"/>
      <c r="AB384" s="10" t="s">
        <v>1195</v>
      </c>
      <c r="AC384" s="32" t="s">
        <v>212</v>
      </c>
      <c r="AF384" s="10" t="s">
        <v>59</v>
      </c>
      <c r="AI384" s="24">
        <v>0.33333333333333331</v>
      </c>
      <c r="AJ384" s="24">
        <v>0.70833333333333337</v>
      </c>
    </row>
    <row r="385" spans="1:36" ht="14.25" customHeight="1">
      <c r="A385">
        <v>100</v>
      </c>
      <c r="B385" s="1">
        <v>10506554</v>
      </c>
      <c r="C385" s="1" t="s">
        <v>39</v>
      </c>
      <c r="D385" s="1" t="s">
        <v>1566</v>
      </c>
      <c r="E385" s="1" t="s">
        <v>1567</v>
      </c>
      <c r="F385" s="1" t="str">
        <f>D385&amp;" "&amp;E385</f>
        <v>อัมพิกา พระนอนเขตร</v>
      </c>
      <c r="G385" s="1" t="s">
        <v>1568</v>
      </c>
      <c r="H385" s="1" t="s">
        <v>1569</v>
      </c>
      <c r="I385" s="1">
        <v>10506554</v>
      </c>
      <c r="J385" s="1" t="s">
        <v>45</v>
      </c>
      <c r="K385" s="1" t="s">
        <v>1073</v>
      </c>
      <c r="L385" s="1" t="s">
        <v>66</v>
      </c>
      <c r="M385" s="1" t="s">
        <v>48</v>
      </c>
      <c r="N385" s="1" t="s">
        <v>48</v>
      </c>
      <c r="O385" s="1" t="s">
        <v>1074</v>
      </c>
      <c r="P385" s="1" t="s">
        <v>1074</v>
      </c>
      <c r="Q385" s="1">
        <v>10358612</v>
      </c>
      <c r="R385" s="1" t="s">
        <v>1565</v>
      </c>
      <c r="S385" s="3" t="s">
        <v>1386</v>
      </c>
      <c r="T385" s="1" t="s">
        <v>52</v>
      </c>
      <c r="U385" s="1" t="s">
        <v>53</v>
      </c>
      <c r="V385" s="1" t="s">
        <v>54</v>
      </c>
      <c r="W385" s="1" t="s">
        <v>55</v>
      </c>
      <c r="X385" s="1">
        <v>1</v>
      </c>
      <c r="Y385" t="s">
        <v>1387</v>
      </c>
      <c r="AA385" s="10"/>
      <c r="AB385" s="10" t="s">
        <v>1195</v>
      </c>
      <c r="AC385" s="32" t="s">
        <v>91</v>
      </c>
      <c r="AF385" s="10" t="s">
        <v>59</v>
      </c>
      <c r="AI385" s="24">
        <v>0.33333333333333331</v>
      </c>
      <c r="AJ385" s="24">
        <v>0.70833333333333337</v>
      </c>
    </row>
    <row r="386" spans="1:36" ht="14.25" customHeight="1">
      <c r="A386">
        <v>196</v>
      </c>
      <c r="B386" s="1">
        <v>10621544</v>
      </c>
      <c r="C386" s="1" t="s">
        <v>92</v>
      </c>
      <c r="D386" s="1" t="s">
        <v>1570</v>
      </c>
      <c r="E386" s="1" t="s">
        <v>1571</v>
      </c>
      <c r="F386" s="1" t="str">
        <f>D386&amp;" "&amp;E386</f>
        <v>สุขสันต์ สุวรรณรังษี</v>
      </c>
      <c r="G386" s="1" t="s">
        <v>1572</v>
      </c>
      <c r="H386" s="1" t="s">
        <v>1573</v>
      </c>
      <c r="I386" s="1">
        <v>10621544</v>
      </c>
      <c r="J386" s="1" t="s">
        <v>45</v>
      </c>
      <c r="K386" s="1" t="s">
        <v>508</v>
      </c>
      <c r="L386" s="1" t="s">
        <v>66</v>
      </c>
      <c r="M386" s="1" t="s">
        <v>48</v>
      </c>
      <c r="N386" s="1" t="s">
        <v>48</v>
      </c>
      <c r="O386" s="1" t="s">
        <v>509</v>
      </c>
      <c r="P386" s="1" t="s">
        <v>509</v>
      </c>
      <c r="Q386" s="1">
        <v>10405190</v>
      </c>
      <c r="R386" s="1" t="s">
        <v>1511</v>
      </c>
      <c r="S386" s="3" t="s">
        <v>1386</v>
      </c>
      <c r="T386" s="1" t="s">
        <v>52</v>
      </c>
      <c r="U386" s="1" t="s">
        <v>53</v>
      </c>
      <c r="V386" s="1" t="s">
        <v>54</v>
      </c>
      <c r="W386" s="1" t="s">
        <v>55</v>
      </c>
      <c r="X386" s="1">
        <v>1</v>
      </c>
      <c r="Y386" t="s">
        <v>1387</v>
      </c>
      <c r="AA386" s="10"/>
      <c r="AB386" s="10" t="s">
        <v>1195</v>
      </c>
      <c r="AC386" s="32" t="s">
        <v>91</v>
      </c>
      <c r="AF386" s="10" t="s">
        <v>59</v>
      </c>
      <c r="AI386" s="24">
        <v>0.33333333333333331</v>
      </c>
      <c r="AJ386" s="24">
        <v>0.70833333333333337</v>
      </c>
    </row>
    <row r="387" spans="1:36" ht="14.25" customHeight="1">
      <c r="A387">
        <v>252</v>
      </c>
      <c r="B387" s="1">
        <v>10656693</v>
      </c>
      <c r="C387" s="1" t="s">
        <v>39</v>
      </c>
      <c r="D387" s="1" t="s">
        <v>646</v>
      </c>
      <c r="E387" s="1" t="s">
        <v>1574</v>
      </c>
      <c r="F387" s="1" t="str">
        <f>D387&amp;" "&amp;E387</f>
        <v>สุกานดา เพ็งมาศ</v>
      </c>
      <c r="G387" s="1" t="s">
        <v>1575</v>
      </c>
      <c r="H387" s="1" t="s">
        <v>1576</v>
      </c>
      <c r="I387" s="1">
        <v>10656693</v>
      </c>
      <c r="J387" s="1" t="s">
        <v>45</v>
      </c>
      <c r="K387" s="1" t="s">
        <v>668</v>
      </c>
      <c r="L387" s="1" t="s">
        <v>66</v>
      </c>
      <c r="M387" s="1" t="s">
        <v>48</v>
      </c>
      <c r="N387" s="1" t="s">
        <v>48</v>
      </c>
      <c r="O387" s="1" t="s">
        <v>669</v>
      </c>
      <c r="P387" s="1" t="s">
        <v>669</v>
      </c>
      <c r="Q387" s="1">
        <v>10358612</v>
      </c>
      <c r="R387" s="1" t="s">
        <v>1565</v>
      </c>
      <c r="S387" s="3" t="s">
        <v>1386</v>
      </c>
      <c r="T387" s="1" t="s">
        <v>52</v>
      </c>
      <c r="U387" s="1" t="s">
        <v>53</v>
      </c>
      <c r="V387" s="1" t="s">
        <v>54</v>
      </c>
      <c r="W387" s="1" t="s">
        <v>55</v>
      </c>
      <c r="X387" s="1">
        <v>1</v>
      </c>
      <c r="Y387" t="s">
        <v>1387</v>
      </c>
      <c r="AA387" s="10"/>
      <c r="AB387" s="10" t="s">
        <v>1195</v>
      </c>
      <c r="AC387" s="32" t="s">
        <v>76</v>
      </c>
      <c r="AF387" s="10" t="s">
        <v>59</v>
      </c>
      <c r="AI387" s="24">
        <v>0.33333333333333331</v>
      </c>
      <c r="AJ387" s="24">
        <v>0.70833333333333337</v>
      </c>
    </row>
    <row r="388" spans="1:36" ht="14.25" customHeight="1">
      <c r="A388">
        <v>119</v>
      </c>
      <c r="B388" s="1">
        <v>10539726</v>
      </c>
      <c r="C388" s="1" t="s">
        <v>92</v>
      </c>
      <c r="D388" s="1" t="s">
        <v>1577</v>
      </c>
      <c r="E388" s="1" t="s">
        <v>1578</v>
      </c>
      <c r="F388" s="1" t="str">
        <f>D388&amp;" "&amp;E388</f>
        <v>มานพ นวนแก้ว</v>
      </c>
      <c r="G388" s="1" t="s">
        <v>1579</v>
      </c>
      <c r="H388" s="1" t="s">
        <v>1580</v>
      </c>
      <c r="I388" s="1">
        <v>10539726</v>
      </c>
      <c r="J388" s="1" t="s">
        <v>45</v>
      </c>
      <c r="K388" s="1" t="s">
        <v>556</v>
      </c>
      <c r="L388" s="1" t="s">
        <v>66</v>
      </c>
      <c r="M388" s="1" t="s">
        <v>48</v>
      </c>
      <c r="N388" s="1" t="s">
        <v>48</v>
      </c>
      <c r="O388" s="1" t="s">
        <v>557</v>
      </c>
      <c r="P388" s="1" t="s">
        <v>557</v>
      </c>
      <c r="Q388" s="1">
        <v>10358628</v>
      </c>
      <c r="R388" s="1" t="s">
        <v>981</v>
      </c>
      <c r="S388" s="3" t="s">
        <v>1386</v>
      </c>
      <c r="T388" s="1" t="s">
        <v>52</v>
      </c>
      <c r="U388" s="1" t="s">
        <v>53</v>
      </c>
      <c r="V388" s="1" t="s">
        <v>54</v>
      </c>
      <c r="W388" s="1" t="s">
        <v>55</v>
      </c>
      <c r="X388" s="1">
        <v>1</v>
      </c>
      <c r="Y388" t="s">
        <v>1387</v>
      </c>
      <c r="AA388" s="10"/>
      <c r="AB388" s="10" t="s">
        <v>1195</v>
      </c>
      <c r="AC388" s="32" t="s">
        <v>91</v>
      </c>
      <c r="AF388" s="10" t="s">
        <v>59</v>
      </c>
      <c r="AI388" s="24">
        <v>0.33333333333333331</v>
      </c>
      <c r="AJ388" s="24">
        <v>0.70833333333333337</v>
      </c>
    </row>
    <row r="389" spans="1:36" ht="14.25" customHeight="1">
      <c r="A389">
        <v>82</v>
      </c>
      <c r="B389" s="1">
        <v>10430354</v>
      </c>
      <c r="C389" s="1" t="s">
        <v>92</v>
      </c>
      <c r="D389" s="1" t="s">
        <v>1581</v>
      </c>
      <c r="E389" s="1" t="s">
        <v>1582</v>
      </c>
      <c r="F389" s="1" t="str">
        <f>D389&amp;" "&amp;E389</f>
        <v>นราวุฒิ บัวลพ</v>
      </c>
      <c r="G389" s="1" t="s">
        <v>1583</v>
      </c>
      <c r="H389" s="1" t="s">
        <v>1584</v>
      </c>
      <c r="I389" s="1" t="s">
        <v>1585</v>
      </c>
      <c r="J389" s="1" t="s">
        <v>45</v>
      </c>
      <c r="K389" s="1" t="s">
        <v>1316</v>
      </c>
      <c r="L389" s="1" t="s">
        <v>47</v>
      </c>
      <c r="M389" s="1" t="s">
        <v>48</v>
      </c>
      <c r="N389" s="1" t="s">
        <v>48</v>
      </c>
      <c r="O389" s="1" t="s">
        <v>1317</v>
      </c>
      <c r="P389" s="1" t="s">
        <v>1317</v>
      </c>
      <c r="Q389" s="1">
        <v>10358618</v>
      </c>
      <c r="R389" s="1" t="s">
        <v>1027</v>
      </c>
      <c r="S389" s="3" t="s">
        <v>1386</v>
      </c>
      <c r="T389" s="1" t="s">
        <v>52</v>
      </c>
      <c r="U389" s="1" t="s">
        <v>53</v>
      </c>
      <c r="V389" s="1" t="s">
        <v>54</v>
      </c>
      <c r="W389" s="1" t="s">
        <v>55</v>
      </c>
      <c r="X389" s="1">
        <v>1</v>
      </c>
      <c r="Y389" t="s">
        <v>1387</v>
      </c>
      <c r="AA389" s="10"/>
      <c r="AB389" s="10" t="s">
        <v>1195</v>
      </c>
      <c r="AC389" s="32" t="s">
        <v>102</v>
      </c>
      <c r="AF389" s="10" t="s">
        <v>59</v>
      </c>
      <c r="AI389" s="24">
        <v>0.33333333333333331</v>
      </c>
      <c r="AJ389" s="24">
        <v>0.70833333333333337</v>
      </c>
    </row>
    <row r="390" spans="1:36" ht="14.25" customHeight="1">
      <c r="A390">
        <v>399</v>
      </c>
      <c r="B390" s="1">
        <v>10688403</v>
      </c>
      <c r="C390" s="1" t="s">
        <v>39</v>
      </c>
      <c r="D390" s="1" t="s">
        <v>1586</v>
      </c>
      <c r="E390" s="1" t="s">
        <v>1587</v>
      </c>
      <c r="F390" s="1" t="str">
        <f>D390&amp;" "&amp;E390</f>
        <v>เตือนใจ กัลยานี</v>
      </c>
      <c r="G390" s="1" t="s">
        <v>1588</v>
      </c>
      <c r="H390" s="1" t="s">
        <v>1589</v>
      </c>
      <c r="I390" s="1">
        <v>10688403</v>
      </c>
      <c r="J390" s="1" t="s">
        <v>45</v>
      </c>
      <c r="K390" s="1" t="s">
        <v>453</v>
      </c>
      <c r="L390" s="1" t="s">
        <v>66</v>
      </c>
      <c r="M390" s="1" t="s">
        <v>48</v>
      </c>
      <c r="N390" s="1" t="s">
        <v>98</v>
      </c>
      <c r="O390" s="1" t="s">
        <v>454</v>
      </c>
      <c r="P390" s="1" t="s">
        <v>100</v>
      </c>
      <c r="Q390" s="1">
        <v>10358615</v>
      </c>
      <c r="R390" s="1" t="s">
        <v>1385</v>
      </c>
      <c r="S390" s="3" t="s">
        <v>1386</v>
      </c>
      <c r="T390" s="1" t="s">
        <v>52</v>
      </c>
      <c r="U390" s="1" t="s">
        <v>53</v>
      </c>
      <c r="V390" s="1" t="s">
        <v>54</v>
      </c>
      <c r="W390" s="1" t="s">
        <v>55</v>
      </c>
      <c r="X390" s="1">
        <v>1</v>
      </c>
      <c r="Y390" t="s">
        <v>1387</v>
      </c>
      <c r="AA390" s="10"/>
      <c r="AB390" s="10" t="s">
        <v>1195</v>
      </c>
      <c r="AC390" s="32" t="s">
        <v>138</v>
      </c>
      <c r="AF390" s="10" t="s">
        <v>59</v>
      </c>
      <c r="AI390" s="24">
        <v>0.33333333333333331</v>
      </c>
      <c r="AJ390" s="24">
        <v>0.70833333333333337</v>
      </c>
    </row>
    <row r="391" spans="1:36" ht="14.25" customHeight="1">
      <c r="A391">
        <v>263</v>
      </c>
      <c r="B391" s="1">
        <v>10659413</v>
      </c>
      <c r="C391" s="1" t="s">
        <v>39</v>
      </c>
      <c r="D391" s="1" t="s">
        <v>1590</v>
      </c>
      <c r="E391" s="1" t="s">
        <v>1591</v>
      </c>
      <c r="F391" s="1" t="str">
        <f>D391&amp;" "&amp;E391</f>
        <v>ฉวีวรรณ ภาวะนิตย์</v>
      </c>
      <c r="G391" s="1" t="s">
        <v>1592</v>
      </c>
      <c r="H391" s="1" t="s">
        <v>1593</v>
      </c>
      <c r="I391" s="1">
        <v>10659413</v>
      </c>
      <c r="J391" s="1" t="s">
        <v>45</v>
      </c>
      <c r="K391" s="2">
        <v>45877</v>
      </c>
      <c r="L391" s="1" t="s">
        <v>66</v>
      </c>
      <c r="M391" s="1" t="s">
        <v>48</v>
      </c>
      <c r="N391" s="1" t="s">
        <v>48</v>
      </c>
      <c r="O391" s="2">
        <v>45789</v>
      </c>
      <c r="P391" s="2">
        <v>45789</v>
      </c>
      <c r="Q391" s="1">
        <v>10358612</v>
      </c>
      <c r="R391" s="1" t="s">
        <v>1565</v>
      </c>
      <c r="S391" s="3" t="s">
        <v>1386</v>
      </c>
      <c r="T391" s="1" t="s">
        <v>52</v>
      </c>
      <c r="U391" s="1" t="s">
        <v>53</v>
      </c>
      <c r="V391" s="1" t="s">
        <v>54</v>
      </c>
      <c r="W391" s="1" t="s">
        <v>55</v>
      </c>
      <c r="X391" s="1">
        <v>1</v>
      </c>
      <c r="Y391" t="s">
        <v>1387</v>
      </c>
      <c r="AA391" s="10"/>
      <c r="AB391" s="10" t="s">
        <v>1195</v>
      </c>
      <c r="AC391" s="32" t="s">
        <v>212</v>
      </c>
      <c r="AF391" s="10" t="s">
        <v>59</v>
      </c>
      <c r="AI391" s="24">
        <v>0.33333333333333331</v>
      </c>
      <c r="AJ391" s="24">
        <v>0.70833333333333337</v>
      </c>
    </row>
    <row r="392" spans="1:36" ht="14.25" customHeight="1">
      <c r="A392">
        <v>297</v>
      </c>
      <c r="B392" s="1">
        <v>10666666</v>
      </c>
      <c r="C392" s="1" t="s">
        <v>92</v>
      </c>
      <c r="D392" s="1" t="s">
        <v>1594</v>
      </c>
      <c r="E392" s="1" t="s">
        <v>1595</v>
      </c>
      <c r="F392" s="1" t="str">
        <f>D392&amp;" "&amp;E392</f>
        <v>จตุรภัทร แย้มพลาย</v>
      </c>
      <c r="G392" s="1" t="s">
        <v>1596</v>
      </c>
      <c r="H392" s="1" t="s">
        <v>1597</v>
      </c>
      <c r="I392" s="1">
        <v>10666666</v>
      </c>
      <c r="J392" s="1" t="s">
        <v>45</v>
      </c>
      <c r="K392" s="1" t="s">
        <v>877</v>
      </c>
      <c r="L392" s="1" t="s">
        <v>66</v>
      </c>
      <c r="M392" s="1" t="s">
        <v>48</v>
      </c>
      <c r="N392" s="1" t="s">
        <v>48</v>
      </c>
      <c r="O392" s="1" t="s">
        <v>878</v>
      </c>
      <c r="P392" s="1" t="s">
        <v>878</v>
      </c>
      <c r="Q392" s="1">
        <v>10358612</v>
      </c>
      <c r="R392" s="1" t="s">
        <v>1565</v>
      </c>
      <c r="S392" s="3" t="s">
        <v>1386</v>
      </c>
      <c r="T392" s="1" t="s">
        <v>52</v>
      </c>
      <c r="U392" s="1" t="s">
        <v>53</v>
      </c>
      <c r="V392" s="1" t="s">
        <v>54</v>
      </c>
      <c r="W392" s="1" t="s">
        <v>55</v>
      </c>
      <c r="X392" s="1">
        <v>1</v>
      </c>
      <c r="Y392" t="s">
        <v>1387</v>
      </c>
      <c r="AA392" s="10"/>
      <c r="AB392" s="10" t="s">
        <v>1195</v>
      </c>
      <c r="AC392" s="32" t="s">
        <v>58</v>
      </c>
      <c r="AF392" s="10" t="s">
        <v>59</v>
      </c>
      <c r="AI392" s="24">
        <v>0.33333333333333331</v>
      </c>
      <c r="AJ392" s="24">
        <v>0.70833333333333337</v>
      </c>
    </row>
    <row r="393" spans="1:36" ht="14.25" customHeight="1">
      <c r="A393">
        <v>264</v>
      </c>
      <c r="B393" s="1">
        <v>10659414</v>
      </c>
      <c r="C393" s="1" t="s">
        <v>39</v>
      </c>
      <c r="D393" s="1" t="s">
        <v>1598</v>
      </c>
      <c r="E393" s="1" t="s">
        <v>1599</v>
      </c>
      <c r="F393" s="1" t="str">
        <f>D393&amp;" "&amp;E393</f>
        <v>เกษรา เศษขุนทด</v>
      </c>
      <c r="G393" s="1" t="s">
        <v>1600</v>
      </c>
      <c r="H393" s="1" t="s">
        <v>1601</v>
      </c>
      <c r="I393" s="1">
        <v>10659414</v>
      </c>
      <c r="J393" s="1" t="s">
        <v>45</v>
      </c>
      <c r="K393" s="2">
        <v>45877</v>
      </c>
      <c r="L393" s="1" t="s">
        <v>66</v>
      </c>
      <c r="M393" s="1" t="s">
        <v>48</v>
      </c>
      <c r="N393" s="1" t="s">
        <v>48</v>
      </c>
      <c r="O393" s="2">
        <v>45789</v>
      </c>
      <c r="P393" s="2">
        <v>45789</v>
      </c>
      <c r="Q393" s="1">
        <v>10358612</v>
      </c>
      <c r="R393" s="1" t="s">
        <v>1565</v>
      </c>
      <c r="S393" s="3" t="s">
        <v>1386</v>
      </c>
      <c r="T393" s="1" t="s">
        <v>52</v>
      </c>
      <c r="U393" s="1" t="s">
        <v>53</v>
      </c>
      <c r="V393" s="1" t="s">
        <v>54</v>
      </c>
      <c r="W393" s="1" t="s">
        <v>55</v>
      </c>
      <c r="X393" s="1">
        <v>1</v>
      </c>
      <c r="Y393" t="s">
        <v>1387</v>
      </c>
      <c r="AA393" s="10"/>
      <c r="AB393" s="10" t="s">
        <v>1195</v>
      </c>
      <c r="AC393" s="32" t="s">
        <v>84</v>
      </c>
      <c r="AF393" s="10" t="s">
        <v>59</v>
      </c>
      <c r="AI393" s="24">
        <v>0.33333333333333331</v>
      </c>
      <c r="AJ393" s="24">
        <v>0.70833333333333337</v>
      </c>
    </row>
    <row r="394" spans="1:36" ht="14.25" customHeight="1">
      <c r="A394">
        <v>173</v>
      </c>
      <c r="B394" s="1">
        <v>10604117</v>
      </c>
      <c r="C394" s="1" t="s">
        <v>627</v>
      </c>
      <c r="D394" s="1" t="s">
        <v>1602</v>
      </c>
      <c r="E394" s="1" t="s">
        <v>417</v>
      </c>
      <c r="F394" s="1" t="str">
        <f>D394&amp;" "&amp;E394</f>
        <v>YUM EAM</v>
      </c>
      <c r="G394" s="1" t="s">
        <v>1602</v>
      </c>
      <c r="H394" s="1" t="s">
        <v>417</v>
      </c>
      <c r="I394" s="1">
        <v>10604117</v>
      </c>
      <c r="J394" s="1" t="s">
        <v>45</v>
      </c>
      <c r="K394" s="2">
        <v>45569</v>
      </c>
      <c r="L394" s="1" t="s">
        <v>66</v>
      </c>
      <c r="M394" s="1" t="s">
        <v>48</v>
      </c>
      <c r="N394" s="1" t="s">
        <v>48</v>
      </c>
      <c r="O394" s="2">
        <v>45481</v>
      </c>
      <c r="P394" s="2">
        <v>45481</v>
      </c>
      <c r="Q394" s="1">
        <v>10358612</v>
      </c>
      <c r="R394" s="1" t="s">
        <v>1565</v>
      </c>
      <c r="S394" s="3" t="s">
        <v>1386</v>
      </c>
      <c r="T394" s="1" t="s">
        <v>52</v>
      </c>
      <c r="U394" s="1" t="s">
        <v>53</v>
      </c>
      <c r="V394" s="1" t="s">
        <v>54</v>
      </c>
      <c r="W394" s="1" t="s">
        <v>418</v>
      </c>
      <c r="X394" s="1">
        <v>1</v>
      </c>
      <c r="Y394" t="s">
        <v>1387</v>
      </c>
      <c r="AA394" s="10"/>
      <c r="AB394" s="10" t="s">
        <v>1195</v>
      </c>
      <c r="AC394" s="32" t="s">
        <v>76</v>
      </c>
      <c r="AF394" s="10" t="s">
        <v>59</v>
      </c>
      <c r="AI394" s="24">
        <v>0.33333333333333331</v>
      </c>
      <c r="AJ394" s="24">
        <v>0.70833333333333337</v>
      </c>
    </row>
    <row r="395" spans="1:36" ht="14.25" customHeight="1">
      <c r="A395">
        <v>309</v>
      </c>
      <c r="B395" s="1">
        <v>10666837</v>
      </c>
      <c r="C395" s="1" t="s">
        <v>415</v>
      </c>
      <c r="D395" s="1" t="s">
        <v>1603</v>
      </c>
      <c r="E395" s="1" t="s">
        <v>1604</v>
      </c>
      <c r="F395" s="1" t="str">
        <f>D395&amp;" "&amp;E395</f>
        <v>YOEURN HEAB</v>
      </c>
      <c r="G395" s="1" t="s">
        <v>1603</v>
      </c>
      <c r="H395" s="1" t="s">
        <v>1604</v>
      </c>
      <c r="I395" s="1">
        <v>10666837</v>
      </c>
      <c r="J395" s="1" t="s">
        <v>45</v>
      </c>
      <c r="K395" s="1" t="s">
        <v>877</v>
      </c>
      <c r="L395" s="1" t="s">
        <v>66</v>
      </c>
      <c r="M395" s="1" t="s">
        <v>48</v>
      </c>
      <c r="N395" s="1" t="s">
        <v>48</v>
      </c>
      <c r="O395" s="1" t="s">
        <v>878</v>
      </c>
      <c r="P395" s="1" t="s">
        <v>878</v>
      </c>
      <c r="Q395" s="1">
        <v>10358578</v>
      </c>
      <c r="R395" s="1" t="s">
        <v>1468</v>
      </c>
      <c r="S395" s="3" t="s">
        <v>1386</v>
      </c>
      <c r="T395" s="1" t="s">
        <v>52</v>
      </c>
      <c r="U395" s="1" t="s">
        <v>53</v>
      </c>
      <c r="V395" s="1" t="s">
        <v>54</v>
      </c>
      <c r="W395" s="1" t="s">
        <v>418</v>
      </c>
      <c r="X395" s="1">
        <v>1</v>
      </c>
      <c r="Y395" t="s">
        <v>1387</v>
      </c>
      <c r="AA395" s="10"/>
      <c r="AB395" s="10" t="s">
        <v>1195</v>
      </c>
      <c r="AC395" s="32" t="s">
        <v>84</v>
      </c>
      <c r="AF395" s="10" t="s">
        <v>59</v>
      </c>
      <c r="AI395" s="24">
        <v>0.33333333333333331</v>
      </c>
      <c r="AJ395" s="24">
        <v>0.70833333333333337</v>
      </c>
    </row>
    <row r="396" spans="1:36" ht="14.25" customHeight="1">
      <c r="A396">
        <v>329</v>
      </c>
      <c r="B396" s="1">
        <v>10668228</v>
      </c>
      <c r="C396" s="1" t="s">
        <v>627</v>
      </c>
      <c r="D396" s="1" t="s">
        <v>1605</v>
      </c>
      <c r="E396" s="1" t="s">
        <v>631</v>
      </c>
      <c r="F396" s="1" t="str">
        <f>D396&amp;" "&amp;E396</f>
        <v>THIN THIN KHAING -</v>
      </c>
      <c r="G396" s="1" t="s">
        <v>1605</v>
      </c>
      <c r="H396" s="1" t="s">
        <v>631</v>
      </c>
      <c r="I396" s="1">
        <v>10668228</v>
      </c>
      <c r="J396" s="1" t="s">
        <v>45</v>
      </c>
      <c r="K396" s="2">
        <v>45667</v>
      </c>
      <c r="L396" s="1" t="s">
        <v>66</v>
      </c>
      <c r="M396" s="1" t="s">
        <v>48</v>
      </c>
      <c r="N396" s="1" t="s">
        <v>48</v>
      </c>
      <c r="O396" s="1" t="s">
        <v>936</v>
      </c>
      <c r="P396" s="1" t="s">
        <v>936</v>
      </c>
      <c r="Q396" s="1">
        <v>10358612</v>
      </c>
      <c r="R396" s="1" t="s">
        <v>1565</v>
      </c>
      <c r="S396" s="3" t="s">
        <v>1386</v>
      </c>
      <c r="T396" s="1" t="s">
        <v>52</v>
      </c>
      <c r="U396" s="1" t="s">
        <v>53</v>
      </c>
      <c r="V396" s="1" t="s">
        <v>54</v>
      </c>
      <c r="W396" s="1" t="s">
        <v>632</v>
      </c>
      <c r="X396" s="1">
        <v>1</v>
      </c>
      <c r="Y396" t="s">
        <v>1387</v>
      </c>
      <c r="AA396" s="10"/>
      <c r="AB396" s="10" t="s">
        <v>1195</v>
      </c>
      <c r="AC396" s="32" t="s">
        <v>69</v>
      </c>
      <c r="AF396" s="10" t="s">
        <v>59</v>
      </c>
      <c r="AI396" s="24">
        <v>0.33333333333333331</v>
      </c>
      <c r="AJ396" s="24">
        <v>0.70833333333333337</v>
      </c>
    </row>
    <row r="397" spans="1:36" ht="14.25" customHeight="1">
      <c r="A397">
        <v>133</v>
      </c>
      <c r="B397" s="1">
        <v>10546756</v>
      </c>
      <c r="C397" s="1" t="s">
        <v>627</v>
      </c>
      <c r="D397" s="1" t="s">
        <v>1606</v>
      </c>
      <c r="E397" s="1" t="s">
        <v>1607</v>
      </c>
      <c r="F397" s="1" t="str">
        <f>D397&amp;" "&amp;E397</f>
        <v>SREYMOM IEM</v>
      </c>
      <c r="G397" s="1" t="s">
        <v>1606</v>
      </c>
      <c r="H397" s="1" t="s">
        <v>1607</v>
      </c>
      <c r="I397" s="1">
        <v>10546756</v>
      </c>
      <c r="J397" s="1" t="s">
        <v>45</v>
      </c>
      <c r="K397" s="2">
        <v>45019</v>
      </c>
      <c r="L397" s="1" t="s">
        <v>66</v>
      </c>
      <c r="M397" s="1" t="s">
        <v>48</v>
      </c>
      <c r="N397" s="1" t="s">
        <v>48</v>
      </c>
      <c r="O397" s="2">
        <v>44933</v>
      </c>
      <c r="P397" s="2">
        <v>44933</v>
      </c>
      <c r="Q397" s="1">
        <v>10358629</v>
      </c>
      <c r="R397" s="1" t="s">
        <v>944</v>
      </c>
      <c r="S397" s="3" t="s">
        <v>1386</v>
      </c>
      <c r="T397" s="1" t="s">
        <v>52</v>
      </c>
      <c r="U397" s="1" t="s">
        <v>53</v>
      </c>
      <c r="V397" s="1" t="s">
        <v>54</v>
      </c>
      <c r="W397" s="1" t="s">
        <v>418</v>
      </c>
      <c r="X397" s="1">
        <v>1</v>
      </c>
      <c r="Y397" t="s">
        <v>1387</v>
      </c>
      <c r="AA397" s="10"/>
      <c r="AB397" s="10" t="s">
        <v>1195</v>
      </c>
      <c r="AC397" s="32" t="s">
        <v>138</v>
      </c>
      <c r="AF397" s="10" t="s">
        <v>59</v>
      </c>
      <c r="AI397" s="24">
        <v>0.33333333333333331</v>
      </c>
      <c r="AJ397" s="24">
        <v>0.70833333333333337</v>
      </c>
    </row>
    <row r="398" spans="1:36" ht="14.25" customHeight="1">
      <c r="A398">
        <v>134</v>
      </c>
      <c r="B398" s="1">
        <v>10546803</v>
      </c>
      <c r="C398" s="1" t="s">
        <v>415</v>
      </c>
      <c r="D398" s="1" t="s">
        <v>1608</v>
      </c>
      <c r="E398" s="1" t="s">
        <v>1609</v>
      </c>
      <c r="F398" s="1" t="str">
        <f>D398&amp;" "&amp;E398</f>
        <v>SIN YA</v>
      </c>
      <c r="G398" s="1" t="s">
        <v>1608</v>
      </c>
      <c r="H398" s="1" t="s">
        <v>1609</v>
      </c>
      <c r="I398" s="1">
        <v>10546803</v>
      </c>
      <c r="J398" s="1" t="s">
        <v>45</v>
      </c>
      <c r="K398" s="2">
        <v>45019</v>
      </c>
      <c r="L398" s="1" t="s">
        <v>66</v>
      </c>
      <c r="M398" s="1" t="s">
        <v>48</v>
      </c>
      <c r="N398" s="1" t="s">
        <v>48</v>
      </c>
      <c r="O398" s="2">
        <v>44933</v>
      </c>
      <c r="P398" s="2">
        <v>44933</v>
      </c>
      <c r="Q398" s="1">
        <v>10358612</v>
      </c>
      <c r="R398" s="1" t="s">
        <v>1565</v>
      </c>
      <c r="S398" s="3" t="s">
        <v>1386</v>
      </c>
      <c r="T398" s="1" t="s">
        <v>52</v>
      </c>
      <c r="U398" s="1" t="s">
        <v>53</v>
      </c>
      <c r="V398" s="1" t="s">
        <v>54</v>
      </c>
      <c r="W398" s="1" t="s">
        <v>418</v>
      </c>
      <c r="X398" s="1">
        <v>1</v>
      </c>
      <c r="Y398" t="s">
        <v>1387</v>
      </c>
      <c r="AA398" s="10"/>
      <c r="AB398" s="10" t="s">
        <v>1195</v>
      </c>
      <c r="AC398" s="32" t="s">
        <v>138</v>
      </c>
      <c r="AF398" s="10" t="s">
        <v>59</v>
      </c>
      <c r="AI398" s="24">
        <v>0.33333333333333331</v>
      </c>
      <c r="AJ398" s="24">
        <v>0.70833333333333337</v>
      </c>
    </row>
    <row r="399" spans="1:36" ht="14.25" customHeight="1">
      <c r="A399">
        <v>305</v>
      </c>
      <c r="B399" s="1">
        <v>10666798</v>
      </c>
      <c r="C399" s="1" t="s">
        <v>627</v>
      </c>
      <c r="D399" s="1" t="s">
        <v>1610</v>
      </c>
      <c r="E399" s="1" t="s">
        <v>1611</v>
      </c>
      <c r="F399" s="1" t="str">
        <f>D399&amp;" "&amp;E399</f>
        <v>PHARY KAB</v>
      </c>
      <c r="G399" s="1" t="s">
        <v>1610</v>
      </c>
      <c r="H399" s="1" t="s">
        <v>1611</v>
      </c>
      <c r="I399" s="1">
        <v>10666798</v>
      </c>
      <c r="J399" s="1" t="s">
        <v>45</v>
      </c>
      <c r="K399" s="1" t="s">
        <v>877</v>
      </c>
      <c r="L399" s="1" t="s">
        <v>66</v>
      </c>
      <c r="M399" s="1" t="s">
        <v>48</v>
      </c>
      <c r="N399" s="1" t="s">
        <v>48</v>
      </c>
      <c r="O399" s="1" t="s">
        <v>878</v>
      </c>
      <c r="P399" s="1" t="s">
        <v>878</v>
      </c>
      <c r="Q399" s="1">
        <v>10358612</v>
      </c>
      <c r="R399" s="1" t="s">
        <v>1565</v>
      </c>
      <c r="S399" s="3" t="s">
        <v>1386</v>
      </c>
      <c r="T399" s="1" t="s">
        <v>52</v>
      </c>
      <c r="U399" s="1" t="s">
        <v>53</v>
      </c>
      <c r="V399" s="1" t="s">
        <v>54</v>
      </c>
      <c r="W399" s="1" t="s">
        <v>418</v>
      </c>
      <c r="X399" s="1">
        <v>1</v>
      </c>
      <c r="Y399" t="s">
        <v>1387</v>
      </c>
      <c r="AA399" s="10"/>
      <c r="AB399" s="10" t="s">
        <v>1195</v>
      </c>
      <c r="AC399" s="32" t="s">
        <v>84</v>
      </c>
      <c r="AF399" s="10" t="s">
        <v>59</v>
      </c>
      <c r="AI399" s="24">
        <v>0.33333333333333331</v>
      </c>
      <c r="AJ399" s="24">
        <v>0.70833333333333337</v>
      </c>
    </row>
    <row r="400" spans="1:36" ht="14.25" customHeight="1">
      <c r="A400">
        <v>325</v>
      </c>
      <c r="B400" s="1">
        <v>10668201</v>
      </c>
      <c r="C400" s="1" t="s">
        <v>627</v>
      </c>
      <c r="D400" s="1" t="s">
        <v>1612</v>
      </c>
      <c r="E400" s="1" t="s">
        <v>631</v>
      </c>
      <c r="F400" s="1" t="str">
        <f>D400&amp;" "&amp;E400</f>
        <v>NWE NWE HLAING -</v>
      </c>
      <c r="G400" s="1" t="s">
        <v>1612</v>
      </c>
      <c r="H400" s="1" t="s">
        <v>631</v>
      </c>
      <c r="I400" s="1">
        <v>10668201</v>
      </c>
      <c r="J400" s="1" t="s">
        <v>45</v>
      </c>
      <c r="K400" s="2">
        <v>45667</v>
      </c>
      <c r="L400" s="1" t="s">
        <v>66</v>
      </c>
      <c r="M400" s="1" t="s">
        <v>48</v>
      </c>
      <c r="N400" s="1" t="s">
        <v>48</v>
      </c>
      <c r="O400" s="1" t="s">
        <v>936</v>
      </c>
      <c r="P400" s="1" t="s">
        <v>936</v>
      </c>
      <c r="Q400" s="1">
        <v>10358612</v>
      </c>
      <c r="R400" s="1" t="s">
        <v>1565</v>
      </c>
      <c r="S400" s="3" t="s">
        <v>1386</v>
      </c>
      <c r="T400" s="1" t="s">
        <v>52</v>
      </c>
      <c r="U400" s="1" t="s">
        <v>53</v>
      </c>
      <c r="V400" s="1" t="s">
        <v>54</v>
      </c>
      <c r="W400" s="1" t="s">
        <v>632</v>
      </c>
      <c r="X400" s="1">
        <v>1</v>
      </c>
      <c r="Y400" t="s">
        <v>1387</v>
      </c>
      <c r="AA400" s="10"/>
      <c r="AB400" s="10" t="s">
        <v>1195</v>
      </c>
      <c r="AC400" s="32" t="s">
        <v>58</v>
      </c>
      <c r="AF400" s="10" t="s">
        <v>59</v>
      </c>
      <c r="AI400" s="24">
        <v>0.33333333333333331</v>
      </c>
      <c r="AJ400" s="24">
        <v>0.70833333333333337</v>
      </c>
    </row>
    <row r="401" spans="1:39" ht="14.25" customHeight="1">
      <c r="A401">
        <v>320</v>
      </c>
      <c r="B401" s="1">
        <v>10668124</v>
      </c>
      <c r="C401" s="1" t="s">
        <v>762</v>
      </c>
      <c r="D401" s="1" t="s">
        <v>1613</v>
      </c>
      <c r="E401" s="1" t="s">
        <v>631</v>
      </c>
      <c r="F401" s="1" t="str">
        <f>D401&amp;" "&amp;E401</f>
        <v>MA SOE SOE AYE -</v>
      </c>
      <c r="G401" s="1" t="s">
        <v>1613</v>
      </c>
      <c r="H401" s="1" t="s">
        <v>631</v>
      </c>
      <c r="I401" s="1">
        <v>10668124</v>
      </c>
      <c r="J401" s="1" t="s">
        <v>45</v>
      </c>
      <c r="K401" s="2">
        <v>45667</v>
      </c>
      <c r="L401" s="1" t="s">
        <v>66</v>
      </c>
      <c r="M401" s="1" t="s">
        <v>48</v>
      </c>
      <c r="N401" s="1" t="s">
        <v>48</v>
      </c>
      <c r="O401" s="1" t="s">
        <v>936</v>
      </c>
      <c r="P401" s="1" t="s">
        <v>936</v>
      </c>
      <c r="Q401" s="1">
        <v>10405190</v>
      </c>
      <c r="R401" s="1" t="s">
        <v>1511</v>
      </c>
      <c r="S401" s="3" t="s">
        <v>1386</v>
      </c>
      <c r="T401" s="1" t="s">
        <v>52</v>
      </c>
      <c r="U401" s="1" t="s">
        <v>53</v>
      </c>
      <c r="V401" s="1" t="s">
        <v>54</v>
      </c>
      <c r="W401" s="1" t="s">
        <v>632</v>
      </c>
      <c r="X401" s="1">
        <v>1</v>
      </c>
      <c r="Y401" t="s">
        <v>1387</v>
      </c>
      <c r="AA401" s="10"/>
      <c r="AB401" s="10" t="s">
        <v>1195</v>
      </c>
      <c r="AC401" s="32" t="s">
        <v>212</v>
      </c>
      <c r="AF401" s="10" t="s">
        <v>59</v>
      </c>
      <c r="AI401" s="24">
        <v>0.33333333333333331</v>
      </c>
      <c r="AJ401" s="24">
        <v>0.70833333333333337</v>
      </c>
    </row>
    <row r="402" spans="1:39" ht="14.25" customHeight="1">
      <c r="A402">
        <v>392</v>
      </c>
      <c r="B402" s="1">
        <v>10688348</v>
      </c>
      <c r="C402" s="1" t="s">
        <v>39</v>
      </c>
      <c r="D402" s="1" t="s">
        <v>1614</v>
      </c>
      <c r="E402" s="1" t="s">
        <v>1615</v>
      </c>
      <c r="F402" s="1" t="str">
        <f>D402&amp;" "&amp;E402</f>
        <v>สกุลณี ดีอินทร์</v>
      </c>
      <c r="G402" s="1" t="s">
        <v>1616</v>
      </c>
      <c r="H402" s="1" t="s">
        <v>1617</v>
      </c>
      <c r="I402" s="1">
        <v>10688348</v>
      </c>
      <c r="J402" s="1" t="s">
        <v>45</v>
      </c>
      <c r="K402" s="1" t="s">
        <v>471</v>
      </c>
      <c r="L402" s="1" t="s">
        <v>66</v>
      </c>
      <c r="M402" s="1" t="s">
        <v>48</v>
      </c>
      <c r="N402" s="1" t="s">
        <v>98</v>
      </c>
      <c r="O402" s="1" t="s">
        <v>472</v>
      </c>
      <c r="P402" s="1" t="s">
        <v>100</v>
      </c>
      <c r="Q402" s="1">
        <v>10358597</v>
      </c>
      <c r="R402" s="1" t="s">
        <v>937</v>
      </c>
      <c r="S402" s="3" t="s">
        <v>1386</v>
      </c>
      <c r="T402" s="1" t="s">
        <v>52</v>
      </c>
      <c r="U402" s="1" t="s">
        <v>53</v>
      </c>
      <c r="V402" s="1" t="s">
        <v>54</v>
      </c>
      <c r="W402" s="1" t="s">
        <v>55</v>
      </c>
      <c r="X402" s="1">
        <v>1</v>
      </c>
      <c r="Y402" t="s">
        <v>1387</v>
      </c>
      <c r="AA402" s="10"/>
    </row>
    <row r="403" spans="1:39" ht="14.25" customHeight="1">
      <c r="A403">
        <v>81</v>
      </c>
      <c r="B403" s="1">
        <v>10429718</v>
      </c>
      <c r="C403" s="1" t="s">
        <v>92</v>
      </c>
      <c r="D403" s="1" t="s">
        <v>1618</v>
      </c>
      <c r="E403" s="1" t="s">
        <v>1582</v>
      </c>
      <c r="F403" s="1" t="str">
        <f>D403&amp;" "&amp;E403</f>
        <v>วิเชษฐ์ บัวลพ</v>
      </c>
      <c r="G403" s="1" t="s">
        <v>1619</v>
      </c>
      <c r="H403" s="1" t="s">
        <v>1584</v>
      </c>
      <c r="I403" s="1" t="s">
        <v>1620</v>
      </c>
      <c r="J403" s="1" t="s">
        <v>45</v>
      </c>
      <c r="K403" s="2">
        <v>44203</v>
      </c>
      <c r="L403" s="1" t="s">
        <v>47</v>
      </c>
      <c r="M403" s="1" t="s">
        <v>48</v>
      </c>
      <c r="N403" s="1" t="s">
        <v>48</v>
      </c>
      <c r="O403" s="1" t="s">
        <v>1528</v>
      </c>
      <c r="P403" s="1" t="s">
        <v>1528</v>
      </c>
      <c r="Q403" s="1">
        <v>10318321</v>
      </c>
      <c r="R403" s="1" t="s">
        <v>916</v>
      </c>
      <c r="S403" s="3" t="s">
        <v>1386</v>
      </c>
      <c r="T403" s="1" t="s">
        <v>52</v>
      </c>
      <c r="U403" s="1" t="s">
        <v>53</v>
      </c>
      <c r="V403" s="1" t="s">
        <v>54</v>
      </c>
      <c r="W403" s="1" t="s">
        <v>55</v>
      </c>
      <c r="X403" s="1">
        <v>1</v>
      </c>
      <c r="Y403" t="s">
        <v>1387</v>
      </c>
      <c r="AA403" s="10"/>
    </row>
    <row r="404" spans="1:39" ht="14.25" customHeight="1">
      <c r="A404">
        <v>232</v>
      </c>
      <c r="B404" s="1">
        <v>10653647</v>
      </c>
      <c r="C404" s="1" t="s">
        <v>39</v>
      </c>
      <c r="D404" s="1" t="s">
        <v>1621</v>
      </c>
      <c r="E404" s="1" t="s">
        <v>1622</v>
      </c>
      <c r="F404" s="1" t="str">
        <f>D404&amp;" "&amp;E404</f>
        <v>วธิดาภรณ์ สายทอง</v>
      </c>
      <c r="G404" s="1" t="s">
        <v>1623</v>
      </c>
      <c r="H404" s="1" t="s">
        <v>1624</v>
      </c>
      <c r="I404" s="1">
        <v>10653647</v>
      </c>
      <c r="J404" s="1" t="s">
        <v>45</v>
      </c>
      <c r="K404" s="2">
        <v>45664</v>
      </c>
      <c r="L404" s="1" t="s">
        <v>66</v>
      </c>
      <c r="M404" s="1" t="s">
        <v>48</v>
      </c>
      <c r="N404" s="1" t="s">
        <v>48</v>
      </c>
      <c r="O404" s="1" t="s">
        <v>89</v>
      </c>
      <c r="P404" s="1" t="s">
        <v>89</v>
      </c>
      <c r="Q404" s="1">
        <v>10288743</v>
      </c>
      <c r="R404" s="1" t="s">
        <v>1517</v>
      </c>
      <c r="S404" s="27" t="s">
        <v>1625</v>
      </c>
      <c r="T404" s="1" t="s">
        <v>52</v>
      </c>
      <c r="U404" s="1" t="s">
        <v>53</v>
      </c>
      <c r="V404" s="1" t="s">
        <v>54</v>
      </c>
      <c r="W404" s="1" t="s">
        <v>55</v>
      </c>
      <c r="X404" s="1">
        <v>1</v>
      </c>
      <c r="Y404" t="s">
        <v>1387</v>
      </c>
      <c r="AA404" s="10"/>
      <c r="AB404" t="s">
        <v>1113</v>
      </c>
      <c r="AC404" s="33" t="s">
        <v>84</v>
      </c>
      <c r="AF404" s="10" t="s">
        <v>59</v>
      </c>
      <c r="AI404" s="24">
        <v>0.33333333333333331</v>
      </c>
      <c r="AJ404" s="24">
        <v>0.70833333333333337</v>
      </c>
      <c r="AK404" s="24">
        <v>0.91666666666666663</v>
      </c>
    </row>
    <row r="405" spans="1:39" ht="14.25" customHeight="1">
      <c r="A405">
        <v>15</v>
      </c>
      <c r="B405" s="1">
        <v>10318422</v>
      </c>
      <c r="C405" s="1" t="s">
        <v>39</v>
      </c>
      <c r="D405" s="1" t="s">
        <v>1626</v>
      </c>
      <c r="E405" s="1" t="s">
        <v>1627</v>
      </c>
      <c r="F405" s="1" t="str">
        <f>D405&amp;" "&amp;E405</f>
        <v>วรรณนิสา ผะอบเงิน</v>
      </c>
      <c r="G405" s="1" t="s">
        <v>596</v>
      </c>
      <c r="H405" s="1" t="s">
        <v>1628</v>
      </c>
      <c r="I405" s="1" t="s">
        <v>1629</v>
      </c>
      <c r="J405" s="1" t="s">
        <v>45</v>
      </c>
      <c r="K405" s="2">
        <v>42744</v>
      </c>
      <c r="L405" s="1" t="s">
        <v>47</v>
      </c>
      <c r="M405" s="1" t="s">
        <v>48</v>
      </c>
      <c r="N405" s="1" t="s">
        <v>48</v>
      </c>
      <c r="O405" s="1" t="s">
        <v>1630</v>
      </c>
      <c r="P405" s="1" t="s">
        <v>1630</v>
      </c>
      <c r="Q405" s="1">
        <v>10358651</v>
      </c>
      <c r="R405" s="1" t="s">
        <v>1631</v>
      </c>
      <c r="S405" s="3" t="s">
        <v>1632</v>
      </c>
      <c r="T405" s="1" t="s">
        <v>52</v>
      </c>
      <c r="U405" s="1" t="s">
        <v>53</v>
      </c>
      <c r="V405" s="1" t="s">
        <v>54</v>
      </c>
      <c r="W405" s="1" t="s">
        <v>55</v>
      </c>
      <c r="X405" s="1">
        <v>1</v>
      </c>
      <c r="AA405" s="10"/>
      <c r="AB405" s="10" t="s">
        <v>1633</v>
      </c>
      <c r="AC405" s="33" t="s">
        <v>102</v>
      </c>
      <c r="AF405" s="10" t="s">
        <v>59</v>
      </c>
      <c r="AG405" s="29"/>
      <c r="AH405" s="29"/>
      <c r="AI405" s="24">
        <v>0.25</v>
      </c>
      <c r="AJ405" s="24">
        <v>0.625</v>
      </c>
      <c r="AL405" s="24"/>
      <c r="AM405" s="24"/>
    </row>
    <row r="406" spans="1:39" ht="14.25" customHeight="1">
      <c r="A406">
        <v>110</v>
      </c>
      <c r="B406" s="1">
        <v>10518480</v>
      </c>
      <c r="C406" s="1" t="s">
        <v>92</v>
      </c>
      <c r="D406" s="1" t="s">
        <v>1634</v>
      </c>
      <c r="E406" s="1" t="s">
        <v>1635</v>
      </c>
      <c r="F406" s="1" t="str">
        <f>D406&amp;" "&amp;E406</f>
        <v>พิเชฐ มณีอินทร์</v>
      </c>
      <c r="G406" s="1" t="s">
        <v>1299</v>
      </c>
      <c r="H406" s="1" t="s">
        <v>1636</v>
      </c>
      <c r="I406" s="1">
        <v>10518480</v>
      </c>
      <c r="J406" s="1" t="s">
        <v>45</v>
      </c>
      <c r="K406" s="1" t="s">
        <v>1074</v>
      </c>
      <c r="L406" s="1" t="s">
        <v>66</v>
      </c>
      <c r="M406" s="1" t="s">
        <v>48</v>
      </c>
      <c r="N406" s="1" t="s">
        <v>48</v>
      </c>
      <c r="O406" s="1" t="s">
        <v>1637</v>
      </c>
      <c r="P406" s="1" t="s">
        <v>1637</v>
      </c>
      <c r="Q406" s="1">
        <v>10295181</v>
      </c>
      <c r="R406" s="1" t="s">
        <v>1638</v>
      </c>
      <c r="S406" s="3" t="s">
        <v>1632</v>
      </c>
      <c r="T406" s="1" t="s">
        <v>52</v>
      </c>
      <c r="U406" s="1" t="s">
        <v>53</v>
      </c>
      <c r="V406" s="1" t="s">
        <v>54</v>
      </c>
      <c r="W406" s="1" t="s">
        <v>55</v>
      </c>
      <c r="X406" s="1">
        <v>1</v>
      </c>
      <c r="AA406" s="10"/>
      <c r="AB406" s="10" t="s">
        <v>1633</v>
      </c>
      <c r="AC406" s="33" t="s">
        <v>102</v>
      </c>
      <c r="AF406" s="10" t="s">
        <v>59</v>
      </c>
      <c r="AG406" s="29"/>
      <c r="AH406" s="29"/>
      <c r="AI406" s="24">
        <v>0.25</v>
      </c>
      <c r="AJ406" s="24">
        <v>0.625</v>
      </c>
      <c r="AL406" s="24"/>
      <c r="AM406" s="24"/>
    </row>
    <row r="407" spans="1:39" ht="14.25" customHeight="1">
      <c r="A407">
        <v>273</v>
      </c>
      <c r="B407" s="1">
        <v>10659609</v>
      </c>
      <c r="C407" s="1" t="s">
        <v>39</v>
      </c>
      <c r="D407" s="1" t="s">
        <v>1639</v>
      </c>
      <c r="E407" s="1" t="s">
        <v>1640</v>
      </c>
      <c r="F407" s="1" t="str">
        <f>D407&amp;" "&amp;E407</f>
        <v>นิธิพร อุปมาก</v>
      </c>
      <c r="G407" s="1" t="s">
        <v>1641</v>
      </c>
      <c r="H407" s="1" t="s">
        <v>1642</v>
      </c>
      <c r="I407" s="1">
        <v>10659609</v>
      </c>
      <c r="J407" s="1" t="s">
        <v>45</v>
      </c>
      <c r="K407" s="2">
        <v>45969</v>
      </c>
      <c r="L407" s="1" t="s">
        <v>66</v>
      </c>
      <c r="M407" s="1" t="s">
        <v>48</v>
      </c>
      <c r="N407" s="1" t="s">
        <v>48</v>
      </c>
      <c r="O407" s="2">
        <v>45881</v>
      </c>
      <c r="P407" s="2">
        <v>45881</v>
      </c>
      <c r="Q407" s="1">
        <v>10358629</v>
      </c>
      <c r="R407" s="1" t="s">
        <v>944</v>
      </c>
      <c r="S407" s="3" t="s">
        <v>1632</v>
      </c>
      <c r="T407" s="1" t="s">
        <v>52</v>
      </c>
      <c r="U407" s="1" t="s">
        <v>53</v>
      </c>
      <c r="V407" s="1" t="s">
        <v>54</v>
      </c>
      <c r="W407" s="1" t="s">
        <v>55</v>
      </c>
      <c r="X407" s="1">
        <v>1</v>
      </c>
      <c r="Y407" s="10" t="s">
        <v>923</v>
      </c>
      <c r="Z407" s="10">
        <f>_xlfn.XLOOKUP(B407,skill_metrix!A:A,skill_metrix!C:C,0)</f>
        <v>0</v>
      </c>
      <c r="AA407" s="10"/>
      <c r="AB407" s="10" t="s">
        <v>1633</v>
      </c>
      <c r="AC407" s="34" t="s">
        <v>102</v>
      </c>
      <c r="AF407" s="10" t="s">
        <v>59</v>
      </c>
      <c r="AG407" s="29"/>
      <c r="AH407" s="29"/>
      <c r="AI407" s="24">
        <v>0.25</v>
      </c>
      <c r="AJ407" s="24">
        <v>0.625</v>
      </c>
      <c r="AL407" s="24"/>
      <c r="AM407" s="24"/>
    </row>
    <row r="408" spans="1:39" ht="14.25" customHeight="1">
      <c r="A408">
        <v>230</v>
      </c>
      <c r="B408" s="1">
        <v>10652184</v>
      </c>
      <c r="C408" s="1" t="s">
        <v>39</v>
      </c>
      <c r="D408" s="1" t="s">
        <v>1643</v>
      </c>
      <c r="E408" s="1" t="s">
        <v>1644</v>
      </c>
      <c r="F408" s="1" t="str">
        <f>D408&amp;" "&amp;E408</f>
        <v>อมรรัตน์ เทพนาคิน</v>
      </c>
      <c r="G408" s="1" t="s">
        <v>1645</v>
      </c>
      <c r="H408" s="1" t="s">
        <v>1646</v>
      </c>
      <c r="I408" s="1">
        <v>10652184</v>
      </c>
      <c r="J408" s="1" t="s">
        <v>45</v>
      </c>
      <c r="K408" s="1" t="s">
        <v>115</v>
      </c>
      <c r="L408" s="1" t="s">
        <v>66</v>
      </c>
      <c r="M408" s="1" t="s">
        <v>48</v>
      </c>
      <c r="N408" s="1" t="s">
        <v>48</v>
      </c>
      <c r="O408" s="1" t="s">
        <v>116</v>
      </c>
      <c r="P408" s="1" t="s">
        <v>116</v>
      </c>
      <c r="Q408" s="1">
        <v>10295181</v>
      </c>
      <c r="R408" s="1" t="s">
        <v>1638</v>
      </c>
      <c r="S408" s="3" t="s">
        <v>1632</v>
      </c>
      <c r="T408" s="1" t="s">
        <v>52</v>
      </c>
      <c r="U408" s="1" t="s">
        <v>53</v>
      </c>
      <c r="V408" s="1" t="s">
        <v>54</v>
      </c>
      <c r="W408" s="1" t="s">
        <v>55</v>
      </c>
      <c r="X408" s="1">
        <v>1</v>
      </c>
      <c r="AA408" s="10"/>
      <c r="AB408" s="10" t="s">
        <v>1633</v>
      </c>
      <c r="AC408" s="33" t="s">
        <v>102</v>
      </c>
      <c r="AF408" s="10" t="s">
        <v>77</v>
      </c>
      <c r="AL408" s="24">
        <v>0.5</v>
      </c>
      <c r="AM408" s="24">
        <v>0.875</v>
      </c>
    </row>
    <row r="409" spans="1:39" ht="14.25" customHeight="1">
      <c r="A409">
        <v>39</v>
      </c>
      <c r="B409" s="1">
        <v>10366464</v>
      </c>
      <c r="C409" s="1" t="s">
        <v>39</v>
      </c>
      <c r="D409" s="1" t="s">
        <v>1647</v>
      </c>
      <c r="E409" s="1" t="s">
        <v>1648</v>
      </c>
      <c r="F409" s="1" t="str">
        <f>D409&amp;" "&amp;E409</f>
        <v>ภัทรวดี ทองจุ้ย</v>
      </c>
      <c r="G409" s="1" t="s">
        <v>1649</v>
      </c>
      <c r="H409" s="1" t="s">
        <v>1650</v>
      </c>
      <c r="I409" s="1" t="s">
        <v>1651</v>
      </c>
      <c r="J409" s="1" t="s">
        <v>45</v>
      </c>
      <c r="K409" s="2">
        <v>43469</v>
      </c>
      <c r="L409" s="1" t="s">
        <v>47</v>
      </c>
      <c r="M409" s="1" t="s">
        <v>48</v>
      </c>
      <c r="N409" s="1" t="s">
        <v>48</v>
      </c>
      <c r="O409" s="1" t="s">
        <v>136</v>
      </c>
      <c r="P409" s="1" t="s">
        <v>136</v>
      </c>
      <c r="Q409" s="1">
        <v>10358651</v>
      </c>
      <c r="R409" s="1" t="s">
        <v>1631</v>
      </c>
      <c r="S409" s="3" t="s">
        <v>1632</v>
      </c>
      <c r="T409" s="1" t="s">
        <v>52</v>
      </c>
      <c r="U409" s="1" t="s">
        <v>53</v>
      </c>
      <c r="V409" s="1" t="s">
        <v>54</v>
      </c>
      <c r="W409" s="1" t="s">
        <v>55</v>
      </c>
      <c r="X409" s="1">
        <v>1</v>
      </c>
      <c r="AA409" s="10"/>
      <c r="AB409" s="10" t="s">
        <v>1633</v>
      </c>
      <c r="AC409" s="33" t="s">
        <v>102</v>
      </c>
      <c r="AF409" s="10" t="s">
        <v>77</v>
      </c>
      <c r="AL409" s="24">
        <v>0.5</v>
      </c>
      <c r="AM409" s="24">
        <v>0.875</v>
      </c>
    </row>
    <row r="410" spans="1:39" ht="14.25" customHeight="1">
      <c r="A410">
        <v>197</v>
      </c>
      <c r="B410" s="1">
        <v>10622138</v>
      </c>
      <c r="C410" s="1" t="s">
        <v>92</v>
      </c>
      <c r="D410" s="1" t="s">
        <v>1652</v>
      </c>
      <c r="E410" s="1" t="s">
        <v>1653</v>
      </c>
      <c r="F410" s="1" t="str">
        <f>D410&amp;" "&amp;E410</f>
        <v>ก้องรวี นวลสาลี</v>
      </c>
      <c r="G410" s="1" t="s">
        <v>1654</v>
      </c>
      <c r="H410" s="1" t="s">
        <v>1655</v>
      </c>
      <c r="I410" s="1">
        <v>10622138</v>
      </c>
      <c r="J410" s="1" t="s">
        <v>45</v>
      </c>
      <c r="K410" s="2">
        <v>45300</v>
      </c>
      <c r="L410" s="1" t="s">
        <v>66</v>
      </c>
      <c r="M410" s="1" t="s">
        <v>48</v>
      </c>
      <c r="N410" s="1" t="s">
        <v>48</v>
      </c>
      <c r="O410" s="1" t="s">
        <v>1656</v>
      </c>
      <c r="P410" s="1" t="s">
        <v>1656</v>
      </c>
      <c r="Q410" s="1">
        <v>10295181</v>
      </c>
      <c r="R410" s="1" t="s">
        <v>1638</v>
      </c>
      <c r="S410" s="3" t="s">
        <v>1632</v>
      </c>
      <c r="T410" s="1" t="s">
        <v>52</v>
      </c>
      <c r="U410" s="1" t="s">
        <v>53</v>
      </c>
      <c r="V410" s="1" t="s">
        <v>54</v>
      </c>
      <c r="W410" s="1" t="s">
        <v>55</v>
      </c>
      <c r="X410" s="1">
        <v>1</v>
      </c>
      <c r="AA410" s="10"/>
      <c r="AB410" s="10" t="s">
        <v>1633</v>
      </c>
      <c r="AC410" s="33" t="s">
        <v>102</v>
      </c>
      <c r="AF410" s="10" t="s">
        <v>77</v>
      </c>
      <c r="AL410" s="24">
        <v>0.5</v>
      </c>
      <c r="AM410" s="24">
        <v>0.875</v>
      </c>
    </row>
    <row r="411" spans="1:39" ht="14.25" customHeight="1">
      <c r="A411">
        <v>351</v>
      </c>
      <c r="B411" s="1">
        <v>10680212</v>
      </c>
      <c r="C411" s="1" t="s">
        <v>92</v>
      </c>
      <c r="D411" s="1" t="s">
        <v>1657</v>
      </c>
      <c r="E411" s="1" t="s">
        <v>1658</v>
      </c>
      <c r="F411" s="1" t="str">
        <f>D411&amp;" "&amp;E411</f>
        <v>อุดม เรืองบุบผา</v>
      </c>
      <c r="G411" s="1" t="s">
        <v>1659</v>
      </c>
      <c r="H411" s="1" t="s">
        <v>1660</v>
      </c>
      <c r="I411" s="1">
        <v>10680212</v>
      </c>
      <c r="J411" s="1" t="s">
        <v>45</v>
      </c>
      <c r="K411" s="1" t="s">
        <v>97</v>
      </c>
      <c r="L411" s="1" t="s">
        <v>66</v>
      </c>
      <c r="M411" s="1" t="s">
        <v>48</v>
      </c>
      <c r="N411" s="1" t="s">
        <v>98</v>
      </c>
      <c r="O411" s="1" t="s">
        <v>99</v>
      </c>
      <c r="P411" s="1" t="s">
        <v>100</v>
      </c>
      <c r="Q411" s="1">
        <v>10295181</v>
      </c>
      <c r="R411" s="1" t="s">
        <v>1638</v>
      </c>
      <c r="S411" s="3" t="s">
        <v>1632</v>
      </c>
      <c r="T411" s="1" t="s">
        <v>52</v>
      </c>
      <c r="U411" s="1" t="s">
        <v>53</v>
      </c>
      <c r="V411" s="1" t="s">
        <v>54</v>
      </c>
      <c r="W411" s="1" t="s">
        <v>55</v>
      </c>
      <c r="X411" s="1">
        <v>1</v>
      </c>
      <c r="AA411" s="10"/>
      <c r="AB411" s="10" t="s">
        <v>1633</v>
      </c>
      <c r="AC411" s="33" t="s">
        <v>102</v>
      </c>
    </row>
    <row r="412" spans="1:39" ht="14.25" customHeight="1">
      <c r="A412">
        <v>3</v>
      </c>
      <c r="B412" s="1">
        <v>10150255</v>
      </c>
      <c r="C412" s="1" t="s">
        <v>92</v>
      </c>
      <c r="D412" s="1" t="s">
        <v>1661</v>
      </c>
      <c r="E412" s="1" t="s">
        <v>1662</v>
      </c>
      <c r="F412" s="1" t="str">
        <f>D412&amp;" "&amp;E412</f>
        <v>ชัยยันต์ ชุมกูล</v>
      </c>
      <c r="G412" s="1" t="s">
        <v>1663</v>
      </c>
      <c r="H412" s="1" t="s">
        <v>1664</v>
      </c>
      <c r="I412" s="1" t="s">
        <v>1665</v>
      </c>
      <c r="J412" s="1" t="s">
        <v>45</v>
      </c>
      <c r="K412" s="2">
        <v>39825</v>
      </c>
      <c r="L412" s="1" t="s">
        <v>47</v>
      </c>
      <c r="M412" s="1" t="s">
        <v>48</v>
      </c>
      <c r="N412" s="1" t="s">
        <v>48</v>
      </c>
      <c r="O412" s="1" t="s">
        <v>1666</v>
      </c>
      <c r="P412" s="1" t="s">
        <v>1666</v>
      </c>
      <c r="Q412" s="1">
        <v>10297415</v>
      </c>
      <c r="R412" s="1" t="s">
        <v>1667</v>
      </c>
      <c r="S412" s="3" t="s">
        <v>1668</v>
      </c>
      <c r="T412" s="1" t="s">
        <v>52</v>
      </c>
      <c r="U412" s="1" t="s">
        <v>53</v>
      </c>
      <c r="V412" s="1" t="s">
        <v>54</v>
      </c>
      <c r="W412" s="1" t="s">
        <v>55</v>
      </c>
      <c r="X412" s="1">
        <v>1</v>
      </c>
      <c r="AA412" s="10"/>
      <c r="AB412" s="10" t="s">
        <v>381</v>
      </c>
      <c r="AF412" s="43" t="s">
        <v>381</v>
      </c>
    </row>
    <row r="413" spans="1:39" ht="14.25" customHeight="1">
      <c r="A413">
        <v>118</v>
      </c>
      <c r="B413" s="1">
        <v>10537870</v>
      </c>
      <c r="C413" s="1" t="s">
        <v>39</v>
      </c>
      <c r="D413" s="1" t="s">
        <v>1669</v>
      </c>
      <c r="E413" s="1" t="s">
        <v>1670</v>
      </c>
      <c r="F413" s="1" t="str">
        <f>D413&amp;" "&amp;E413</f>
        <v>วิภา จิรังดา</v>
      </c>
      <c r="G413" s="1" t="s">
        <v>1671</v>
      </c>
      <c r="H413" s="1" t="s">
        <v>1672</v>
      </c>
      <c r="I413" s="1">
        <v>10537870</v>
      </c>
      <c r="J413" s="1" t="s">
        <v>45</v>
      </c>
      <c r="K413" s="2">
        <v>44986</v>
      </c>
      <c r="L413" s="1" t="s">
        <v>66</v>
      </c>
      <c r="M413" s="1" t="s">
        <v>48</v>
      </c>
      <c r="N413" s="1" t="s">
        <v>48</v>
      </c>
      <c r="O413" s="2">
        <v>44962</v>
      </c>
      <c r="P413" s="2">
        <v>44962</v>
      </c>
      <c r="Q413" s="1">
        <v>10309271</v>
      </c>
      <c r="R413" s="1" t="s">
        <v>1673</v>
      </c>
      <c r="S413" s="3" t="s">
        <v>1668</v>
      </c>
      <c r="T413" s="1" t="s">
        <v>52</v>
      </c>
      <c r="U413" s="1" t="s">
        <v>53</v>
      </c>
      <c r="V413" s="1" t="s">
        <v>54</v>
      </c>
      <c r="W413" s="1" t="s">
        <v>55</v>
      </c>
      <c r="X413" s="1">
        <v>1</v>
      </c>
      <c r="AA413" s="10"/>
      <c r="AB413" s="10" t="s">
        <v>1674</v>
      </c>
      <c r="AF413" s="10" t="s">
        <v>59</v>
      </c>
      <c r="AI413" s="24">
        <v>0.33333333333333331</v>
      </c>
      <c r="AJ413" s="24">
        <v>0.70833333333333337</v>
      </c>
      <c r="AK413" s="24">
        <v>0.83333333333333337</v>
      </c>
    </row>
    <row r="414" spans="1:39" ht="14.25" customHeight="1">
      <c r="A414">
        <v>335</v>
      </c>
      <c r="B414" s="1">
        <v>10670924</v>
      </c>
      <c r="C414" s="1" t="s">
        <v>92</v>
      </c>
      <c r="D414" s="1" t="s">
        <v>1675</v>
      </c>
      <c r="E414" s="1" t="s">
        <v>1676</v>
      </c>
      <c r="F414" s="1" t="str">
        <f>D414&amp;" "&amp;E414</f>
        <v>วศิน เปี่ยมเงิน</v>
      </c>
      <c r="G414" s="1" t="s">
        <v>1677</v>
      </c>
      <c r="H414" s="1" t="s">
        <v>1678</v>
      </c>
      <c r="I414" s="1" t="s">
        <v>1679</v>
      </c>
      <c r="J414" s="1" t="s">
        <v>45</v>
      </c>
      <c r="K414" s="2">
        <v>45668</v>
      </c>
      <c r="L414" s="1" t="s">
        <v>47</v>
      </c>
      <c r="M414" s="1" t="s">
        <v>48</v>
      </c>
      <c r="N414" s="1" t="s">
        <v>98</v>
      </c>
      <c r="O414" s="1" t="s">
        <v>1680</v>
      </c>
      <c r="P414" s="1" t="s">
        <v>100</v>
      </c>
      <c r="Q414" s="1">
        <v>10321326</v>
      </c>
      <c r="R414" s="1" t="s">
        <v>1681</v>
      </c>
      <c r="S414" s="3" t="s">
        <v>1668</v>
      </c>
      <c r="T414" s="1" t="s">
        <v>52</v>
      </c>
      <c r="U414" s="1" t="s">
        <v>53</v>
      </c>
      <c r="V414" s="1" t="s">
        <v>54</v>
      </c>
      <c r="W414" s="1" t="s">
        <v>55</v>
      </c>
      <c r="X414" s="1">
        <v>1</v>
      </c>
      <c r="AA414" s="10"/>
      <c r="AB414" s="10" t="s">
        <v>1674</v>
      </c>
      <c r="AF414" s="10" t="s">
        <v>59</v>
      </c>
      <c r="AI414" s="24">
        <v>0.33333333333333331</v>
      </c>
      <c r="AJ414" s="24">
        <v>0.70833333333333337</v>
      </c>
      <c r="AK414" s="24">
        <v>0.83333333333333337</v>
      </c>
    </row>
    <row r="415" spans="1:39" ht="14.25" customHeight="1">
      <c r="A415">
        <v>4</v>
      </c>
      <c r="B415" s="1">
        <v>10169542</v>
      </c>
      <c r="C415" s="1" t="s">
        <v>39</v>
      </c>
      <c r="D415" s="1" t="s">
        <v>1682</v>
      </c>
      <c r="E415" s="1" t="s">
        <v>1683</v>
      </c>
      <c r="F415" s="1" t="str">
        <f>D415&amp;" "&amp;E415</f>
        <v>ประไพ โพธิ์สี</v>
      </c>
      <c r="G415" s="1" t="s">
        <v>1684</v>
      </c>
      <c r="H415" s="1" t="s">
        <v>1685</v>
      </c>
      <c r="I415" s="1" t="s">
        <v>1686</v>
      </c>
      <c r="J415" s="1" t="s">
        <v>45</v>
      </c>
      <c r="K415" s="2">
        <v>40912</v>
      </c>
      <c r="L415" s="1" t="s">
        <v>47</v>
      </c>
      <c r="M415" s="1" t="s">
        <v>48</v>
      </c>
      <c r="N415" s="1" t="s">
        <v>48</v>
      </c>
      <c r="O415" s="1" t="s">
        <v>1687</v>
      </c>
      <c r="P415" s="1" t="s">
        <v>1687</v>
      </c>
      <c r="Q415" s="1">
        <v>10339091</v>
      </c>
      <c r="R415" s="1" t="s">
        <v>1688</v>
      </c>
      <c r="S415" s="3" t="s">
        <v>1668</v>
      </c>
      <c r="T415" s="1" t="s">
        <v>52</v>
      </c>
      <c r="U415" s="1" t="s">
        <v>53</v>
      </c>
      <c r="V415" s="1" t="s">
        <v>54</v>
      </c>
      <c r="W415" s="1" t="s">
        <v>55</v>
      </c>
      <c r="X415" s="1">
        <v>1</v>
      </c>
      <c r="AA415" s="10"/>
      <c r="AB415" s="10" t="s">
        <v>1674</v>
      </c>
      <c r="AF415" s="10" t="s">
        <v>59</v>
      </c>
      <c r="AI415" s="24">
        <v>0.33333333333333331</v>
      </c>
      <c r="AJ415" s="24">
        <v>0.70833333333333337</v>
      </c>
      <c r="AK415" s="24">
        <v>0.83333333333333337</v>
      </c>
    </row>
    <row r="416" spans="1:39" ht="14.25" customHeight="1">
      <c r="A416">
        <v>36</v>
      </c>
      <c r="B416" s="1">
        <v>10363493</v>
      </c>
      <c r="C416" s="1" t="s">
        <v>39</v>
      </c>
      <c r="D416" s="1" t="s">
        <v>1689</v>
      </c>
      <c r="E416" s="1" t="s">
        <v>1690</v>
      </c>
      <c r="F416" s="1" t="str">
        <f>D416&amp;" "&amp;E416</f>
        <v>ดวงพร อุ่นกระมล</v>
      </c>
      <c r="G416" s="1" t="s">
        <v>1691</v>
      </c>
      <c r="H416" s="1" t="s">
        <v>1692</v>
      </c>
      <c r="I416" s="1" t="s">
        <v>1693</v>
      </c>
      <c r="J416" s="1" t="s">
        <v>45</v>
      </c>
      <c r="K416" s="2">
        <v>43468</v>
      </c>
      <c r="L416" s="1" t="s">
        <v>47</v>
      </c>
      <c r="M416" s="1" t="s">
        <v>48</v>
      </c>
      <c r="N416" s="1" t="s">
        <v>48</v>
      </c>
      <c r="O416" s="1" t="s">
        <v>731</v>
      </c>
      <c r="P416" s="1" t="s">
        <v>731</v>
      </c>
      <c r="Q416" s="1">
        <v>10301026</v>
      </c>
      <c r="R416" s="1" t="s">
        <v>1694</v>
      </c>
      <c r="S416" s="3" t="s">
        <v>1668</v>
      </c>
      <c r="T416" s="1" t="s">
        <v>52</v>
      </c>
      <c r="U416" s="1" t="s">
        <v>53</v>
      </c>
      <c r="V416" s="1" t="s">
        <v>54</v>
      </c>
      <c r="W416" s="1" t="s">
        <v>55</v>
      </c>
      <c r="X416" s="1">
        <v>1</v>
      </c>
      <c r="AA416" s="10"/>
      <c r="AB416" s="10" t="s">
        <v>1674</v>
      </c>
      <c r="AF416" s="10" t="s">
        <v>59</v>
      </c>
      <c r="AI416" s="24">
        <v>0.33333333333333331</v>
      </c>
      <c r="AJ416" s="24">
        <v>0.70833333333333337</v>
      </c>
      <c r="AK416" s="24">
        <v>0.83333333333333337</v>
      </c>
    </row>
    <row r="417" spans="1:40" ht="14.25" customHeight="1">
      <c r="A417">
        <v>406</v>
      </c>
      <c r="B417" s="1">
        <v>10688540</v>
      </c>
      <c r="C417" s="1" t="s">
        <v>92</v>
      </c>
      <c r="D417" s="1" t="s">
        <v>1695</v>
      </c>
      <c r="E417" s="1" t="s">
        <v>383</v>
      </c>
      <c r="F417" s="1" t="str">
        <f>D417&amp;" "&amp;E417</f>
        <v>วราวุธ โพธิ์ศรี</v>
      </c>
      <c r="G417" s="1" t="s">
        <v>1696</v>
      </c>
      <c r="H417" s="1" t="s">
        <v>507</v>
      </c>
      <c r="I417" s="1">
        <v>10688540</v>
      </c>
      <c r="J417" s="1" t="s">
        <v>45</v>
      </c>
      <c r="K417" s="1" t="s">
        <v>453</v>
      </c>
      <c r="L417" s="1" t="s">
        <v>66</v>
      </c>
      <c r="M417" s="1" t="s">
        <v>48</v>
      </c>
      <c r="N417" s="1" t="s">
        <v>98</v>
      </c>
      <c r="O417" s="1" t="s">
        <v>454</v>
      </c>
      <c r="P417" s="1" t="s">
        <v>100</v>
      </c>
      <c r="Q417" s="1">
        <v>10309271</v>
      </c>
      <c r="R417" s="1" t="s">
        <v>1673</v>
      </c>
      <c r="S417" s="3" t="s">
        <v>1668</v>
      </c>
      <c r="T417" s="1" t="s">
        <v>52</v>
      </c>
      <c r="U417" s="1" t="s">
        <v>53</v>
      </c>
      <c r="V417" s="1" t="s">
        <v>54</v>
      </c>
      <c r="W417" s="1" t="s">
        <v>55</v>
      </c>
      <c r="X417" s="1">
        <v>1</v>
      </c>
      <c r="AA417" s="10"/>
      <c r="AB417" s="10" t="s">
        <v>1674</v>
      </c>
      <c r="AF417" s="10" t="s">
        <v>77</v>
      </c>
      <c r="AL417" s="24">
        <v>0.83333333333333337</v>
      </c>
      <c r="AM417" s="24">
        <v>0.20833333333333334</v>
      </c>
    </row>
    <row r="418" spans="1:40" ht="14.25" customHeight="1">
      <c r="A418">
        <v>216</v>
      </c>
      <c r="B418" s="1">
        <v>10641182</v>
      </c>
      <c r="C418" s="1" t="s">
        <v>39</v>
      </c>
      <c r="D418" s="1" t="s">
        <v>1697</v>
      </c>
      <c r="E418" s="1" t="s">
        <v>1698</v>
      </c>
      <c r="F418" s="1" t="str">
        <f>D418&amp;" "&amp;E418</f>
        <v>เพ็ญพิชชา สาแขม</v>
      </c>
      <c r="G418" s="1" t="s">
        <v>1699</v>
      </c>
      <c r="H418" s="1" t="s">
        <v>1700</v>
      </c>
      <c r="I418" s="1">
        <v>10641182</v>
      </c>
      <c r="J418" s="1" t="s">
        <v>45</v>
      </c>
      <c r="K418" s="1" t="s">
        <v>179</v>
      </c>
      <c r="L418" s="1" t="s">
        <v>66</v>
      </c>
      <c r="M418" s="1" t="s">
        <v>48</v>
      </c>
      <c r="N418" s="1" t="s">
        <v>48</v>
      </c>
      <c r="O418" s="1" t="s">
        <v>180</v>
      </c>
      <c r="P418" s="1" t="s">
        <v>180</v>
      </c>
      <c r="Q418" s="1">
        <v>10309271</v>
      </c>
      <c r="R418" s="1" t="s">
        <v>1673</v>
      </c>
      <c r="S418" s="3" t="s">
        <v>1668</v>
      </c>
      <c r="T418" s="1" t="s">
        <v>52</v>
      </c>
      <c r="U418" s="1" t="s">
        <v>53</v>
      </c>
      <c r="V418" s="1" t="s">
        <v>54</v>
      </c>
      <c r="W418" s="1" t="s">
        <v>55</v>
      </c>
      <c r="X418" s="1">
        <v>1</v>
      </c>
      <c r="AA418" s="10"/>
      <c r="AB418" s="10" t="s">
        <v>1674</v>
      </c>
      <c r="AF418" s="10" t="s">
        <v>77</v>
      </c>
      <c r="AL418" s="24">
        <v>0.83333333333333337</v>
      </c>
      <c r="AM418" s="24">
        <v>0.20833333333333334</v>
      </c>
    </row>
    <row r="419" spans="1:40" ht="14.25" customHeight="1">
      <c r="A419">
        <v>125</v>
      </c>
      <c r="B419" s="1">
        <v>10539783</v>
      </c>
      <c r="C419" s="1" t="s">
        <v>39</v>
      </c>
      <c r="D419" s="1" t="s">
        <v>1701</v>
      </c>
      <c r="E419" s="1" t="s">
        <v>1702</v>
      </c>
      <c r="F419" s="1" t="str">
        <f>D419&amp;" "&amp;E419</f>
        <v>พรชนก ดาศรี</v>
      </c>
      <c r="G419" s="1" t="s">
        <v>1703</v>
      </c>
      <c r="H419" s="1" t="s">
        <v>1704</v>
      </c>
      <c r="I419" s="1">
        <v>10539783</v>
      </c>
      <c r="J419" s="1" t="s">
        <v>45</v>
      </c>
      <c r="K419" s="1" t="s">
        <v>556</v>
      </c>
      <c r="L419" s="1" t="s">
        <v>66</v>
      </c>
      <c r="M419" s="1" t="s">
        <v>48</v>
      </c>
      <c r="N419" s="1" t="s">
        <v>48</v>
      </c>
      <c r="O419" s="1" t="s">
        <v>557</v>
      </c>
      <c r="P419" s="1" t="s">
        <v>557</v>
      </c>
      <c r="Q419" s="1">
        <v>10309271</v>
      </c>
      <c r="R419" s="1" t="s">
        <v>1673</v>
      </c>
      <c r="S419" s="3" t="s">
        <v>1668</v>
      </c>
      <c r="T419" s="1" t="s">
        <v>52</v>
      </c>
      <c r="U419" s="1" t="s">
        <v>53</v>
      </c>
      <c r="V419" s="1" t="s">
        <v>54</v>
      </c>
      <c r="W419" s="1" t="s">
        <v>55</v>
      </c>
      <c r="X419" s="1">
        <v>1</v>
      </c>
      <c r="AA419" s="10"/>
      <c r="AB419" s="10" t="s">
        <v>1674</v>
      </c>
      <c r="AF419" s="10" t="s">
        <v>77</v>
      </c>
      <c r="AL419" s="24">
        <v>0.83333333333333337</v>
      </c>
      <c r="AM419" s="24">
        <v>0.20833333333333334</v>
      </c>
    </row>
    <row r="420" spans="1:40" ht="14.25" customHeight="1">
      <c r="A420">
        <v>25</v>
      </c>
      <c r="B420" s="1">
        <v>10344672</v>
      </c>
      <c r="C420" s="1" t="s">
        <v>92</v>
      </c>
      <c r="D420" s="1" t="s">
        <v>1414</v>
      </c>
      <c r="E420" s="1" t="s">
        <v>1705</v>
      </c>
      <c r="F420" s="1" t="str">
        <f>D420&amp;" "&amp;E420</f>
        <v>ภานุวัฒน์ ดวงตา</v>
      </c>
      <c r="G420" s="1" t="s">
        <v>1706</v>
      </c>
      <c r="H420" s="1" t="s">
        <v>1707</v>
      </c>
      <c r="I420" s="1" t="s">
        <v>1708</v>
      </c>
      <c r="J420" s="1" t="s">
        <v>45</v>
      </c>
      <c r="K420" s="2">
        <v>43108</v>
      </c>
      <c r="L420" s="1" t="s">
        <v>47</v>
      </c>
      <c r="M420" s="1" t="s">
        <v>48</v>
      </c>
      <c r="N420" s="1" t="s">
        <v>48</v>
      </c>
      <c r="O420" s="1" t="s">
        <v>1709</v>
      </c>
      <c r="P420" s="1" t="s">
        <v>1709</v>
      </c>
      <c r="Q420" s="1">
        <v>10329352</v>
      </c>
      <c r="R420" s="1" t="s">
        <v>1710</v>
      </c>
      <c r="S420" s="3" t="s">
        <v>1711</v>
      </c>
      <c r="T420" s="1" t="s">
        <v>52</v>
      </c>
      <c r="U420" s="1" t="s">
        <v>53</v>
      </c>
      <c r="V420" s="1" t="s">
        <v>54</v>
      </c>
      <c r="W420" s="1" t="s">
        <v>55</v>
      </c>
      <c r="X420" s="1">
        <v>1</v>
      </c>
      <c r="AA420" s="10"/>
      <c r="AB420" s="10" t="s">
        <v>381</v>
      </c>
      <c r="AF420" s="43" t="s">
        <v>381</v>
      </c>
    </row>
    <row r="421" spans="1:40" ht="14.25" customHeight="1">
      <c r="A421">
        <v>17</v>
      </c>
      <c r="B421" s="1">
        <v>10328183</v>
      </c>
      <c r="C421" s="1" t="s">
        <v>92</v>
      </c>
      <c r="D421" s="1" t="s">
        <v>1255</v>
      </c>
      <c r="E421" s="1" t="s">
        <v>1052</v>
      </c>
      <c r="F421" s="1" t="str">
        <f>D421&amp;" "&amp;E421</f>
        <v>วีระ เรืองชม</v>
      </c>
      <c r="G421" s="1" t="s">
        <v>1257</v>
      </c>
      <c r="H421" s="1" t="s">
        <v>1712</v>
      </c>
      <c r="I421" s="1" t="s">
        <v>1713</v>
      </c>
      <c r="J421" s="1" t="s">
        <v>45</v>
      </c>
      <c r="K421" s="2">
        <v>43102</v>
      </c>
      <c r="L421" s="1" t="s">
        <v>47</v>
      </c>
      <c r="M421" s="1" t="s">
        <v>48</v>
      </c>
      <c r="N421" s="1" t="s">
        <v>48</v>
      </c>
      <c r="O421" s="1" t="s">
        <v>674</v>
      </c>
      <c r="P421" s="1" t="s">
        <v>674</v>
      </c>
      <c r="Q421" s="1">
        <v>10296324</v>
      </c>
      <c r="R421" s="1" t="s">
        <v>1714</v>
      </c>
      <c r="S421" s="3" t="s">
        <v>1711</v>
      </c>
      <c r="T421" s="1" t="s">
        <v>52</v>
      </c>
      <c r="U421" s="1" t="s">
        <v>53</v>
      </c>
      <c r="V421" s="1" t="s">
        <v>54</v>
      </c>
      <c r="W421" s="1" t="s">
        <v>55</v>
      </c>
      <c r="X421" s="1">
        <v>1</v>
      </c>
      <c r="AA421" s="10"/>
      <c r="AB421" t="s">
        <v>1715</v>
      </c>
      <c r="AF421" s="10" t="s">
        <v>59</v>
      </c>
      <c r="AI421" s="24">
        <v>0.33333333333333331</v>
      </c>
      <c r="AJ421" s="24">
        <v>0.70833333333333337</v>
      </c>
      <c r="AK421" s="24">
        <v>0.83333333333333337</v>
      </c>
    </row>
    <row r="422" spans="1:40" ht="14.25" customHeight="1">
      <c r="A422">
        <v>22</v>
      </c>
      <c r="B422" s="1">
        <v>10341060</v>
      </c>
      <c r="C422" s="1" t="s">
        <v>92</v>
      </c>
      <c r="D422" s="1" t="s">
        <v>1716</v>
      </c>
      <c r="E422" s="1" t="s">
        <v>1717</v>
      </c>
      <c r="F422" s="1" t="str">
        <f>D422&amp;" "&amp;E422</f>
        <v>วรพล คงกระพันธ์</v>
      </c>
      <c r="G422" s="1" t="s">
        <v>1718</v>
      </c>
      <c r="H422" s="1" t="s">
        <v>1719</v>
      </c>
      <c r="I422" s="1" t="s">
        <v>1720</v>
      </c>
      <c r="J422" s="1" t="s">
        <v>45</v>
      </c>
      <c r="K422" s="1" t="s">
        <v>1721</v>
      </c>
      <c r="L422" s="1" t="s">
        <v>47</v>
      </c>
      <c r="M422" s="1" t="s">
        <v>48</v>
      </c>
      <c r="N422" s="1" t="s">
        <v>48</v>
      </c>
      <c r="O422" s="1" t="s">
        <v>1722</v>
      </c>
      <c r="P422" s="1" t="s">
        <v>1722</v>
      </c>
      <c r="Q422" s="1">
        <v>10296324</v>
      </c>
      <c r="R422" s="1" t="s">
        <v>1714</v>
      </c>
      <c r="S422" s="3" t="s">
        <v>1711</v>
      </c>
      <c r="T422" s="1" t="s">
        <v>52</v>
      </c>
      <c r="U422" s="1" t="s">
        <v>53</v>
      </c>
      <c r="V422" s="1" t="s">
        <v>54</v>
      </c>
      <c r="W422" s="1" t="s">
        <v>55</v>
      </c>
      <c r="X422" s="1">
        <v>1</v>
      </c>
      <c r="AA422" s="10"/>
      <c r="AB422" t="s">
        <v>1715</v>
      </c>
      <c r="AF422" s="10" t="s">
        <v>59</v>
      </c>
      <c r="AI422" s="24">
        <v>0.33333333333333331</v>
      </c>
      <c r="AJ422" s="24">
        <v>0.70833333333333337</v>
      </c>
      <c r="AK422" s="24">
        <v>0.83333333333333337</v>
      </c>
    </row>
    <row r="423" spans="1:40" ht="14.25" customHeight="1">
      <c r="A423">
        <v>154</v>
      </c>
      <c r="B423" s="1">
        <v>10573939</v>
      </c>
      <c r="C423" s="1" t="s">
        <v>92</v>
      </c>
      <c r="D423" s="1" t="s">
        <v>1131</v>
      </c>
      <c r="E423" s="1" t="s">
        <v>1723</v>
      </c>
      <c r="F423" s="1" t="str">
        <f>D423&amp;" "&amp;E423</f>
        <v>ธรรมรัตน์ โฉมทัพ</v>
      </c>
      <c r="G423" s="1" t="s">
        <v>1724</v>
      </c>
      <c r="H423" s="1" t="s">
        <v>1725</v>
      </c>
      <c r="I423" s="1">
        <v>10573939</v>
      </c>
      <c r="J423" s="1" t="s">
        <v>45</v>
      </c>
      <c r="K423" s="1" t="s">
        <v>814</v>
      </c>
      <c r="L423" s="1" t="s">
        <v>66</v>
      </c>
      <c r="M423" s="1" t="s">
        <v>48</v>
      </c>
      <c r="N423" s="1" t="s">
        <v>48</v>
      </c>
      <c r="O423" s="2">
        <v>45628</v>
      </c>
      <c r="P423" s="2">
        <v>45628</v>
      </c>
      <c r="Q423" s="1">
        <v>10330981</v>
      </c>
      <c r="R423" s="1" t="s">
        <v>1726</v>
      </c>
      <c r="S423" s="3" t="s">
        <v>1711</v>
      </c>
      <c r="T423" s="1" t="s">
        <v>52</v>
      </c>
      <c r="U423" s="1" t="s">
        <v>53</v>
      </c>
      <c r="V423" s="1" t="s">
        <v>54</v>
      </c>
      <c r="W423" s="1" t="s">
        <v>55</v>
      </c>
      <c r="X423" s="1">
        <v>1</v>
      </c>
      <c r="AA423" s="10"/>
      <c r="AB423" t="s">
        <v>1715</v>
      </c>
      <c r="AF423" s="10" t="s">
        <v>59</v>
      </c>
      <c r="AI423" s="24">
        <v>0.33333333333333331</v>
      </c>
      <c r="AJ423" s="24">
        <v>0.70833333333333337</v>
      </c>
      <c r="AK423" s="24">
        <v>0.83333333333333337</v>
      </c>
    </row>
    <row r="424" spans="1:40" ht="14.25" customHeight="1">
      <c r="A424">
        <v>156</v>
      </c>
      <c r="B424" s="1">
        <v>10575408</v>
      </c>
      <c r="C424" s="1" t="s">
        <v>92</v>
      </c>
      <c r="D424" s="1" t="s">
        <v>1727</v>
      </c>
      <c r="E424" s="1" t="s">
        <v>1124</v>
      </c>
      <c r="F424" s="1" t="str">
        <f>D424&amp;" "&amp;E424</f>
        <v>สุริยะ วรรณา</v>
      </c>
      <c r="G424" s="1" t="s">
        <v>1728</v>
      </c>
      <c r="H424" s="1" t="s">
        <v>1126</v>
      </c>
      <c r="I424" s="1">
        <v>10575408</v>
      </c>
      <c r="J424" s="1" t="s">
        <v>45</v>
      </c>
      <c r="K424" s="2">
        <v>44937</v>
      </c>
      <c r="L424" s="1" t="s">
        <v>66</v>
      </c>
      <c r="M424" s="1" t="s">
        <v>48</v>
      </c>
      <c r="N424" s="1" t="s">
        <v>48</v>
      </c>
      <c r="O424" s="1" t="s">
        <v>893</v>
      </c>
      <c r="P424" s="1" t="s">
        <v>893</v>
      </c>
      <c r="Q424" s="1">
        <v>10330981</v>
      </c>
      <c r="R424" s="1" t="s">
        <v>1726</v>
      </c>
      <c r="S424" s="3" t="s">
        <v>1711</v>
      </c>
      <c r="T424" s="1" t="s">
        <v>52</v>
      </c>
      <c r="U424" s="1" t="s">
        <v>53</v>
      </c>
      <c r="V424" s="1" t="s">
        <v>54</v>
      </c>
      <c r="W424" s="1" t="s">
        <v>55</v>
      </c>
      <c r="X424" s="1">
        <v>1</v>
      </c>
      <c r="AA424" s="10"/>
      <c r="AB424" t="s">
        <v>1715</v>
      </c>
      <c r="AF424" s="10" t="s">
        <v>77</v>
      </c>
      <c r="AL424" s="24">
        <v>0.83333333333333337</v>
      </c>
      <c r="AM424" s="24">
        <v>0.20833333333333334</v>
      </c>
      <c r="AN424" s="24">
        <v>0.33333333333333331</v>
      </c>
    </row>
    <row r="425" spans="1:40" ht="14.25" customHeight="1">
      <c r="A425">
        <v>128</v>
      </c>
      <c r="B425" s="1">
        <v>10542560</v>
      </c>
      <c r="C425" s="1" t="s">
        <v>92</v>
      </c>
      <c r="D425" s="1" t="s">
        <v>1729</v>
      </c>
      <c r="E425" s="1" t="s">
        <v>1730</v>
      </c>
      <c r="F425" s="1" t="str">
        <f>D425&amp;" "&amp;E425</f>
        <v>สราวุฒิ ประสพพร</v>
      </c>
      <c r="G425" s="1" t="s">
        <v>156</v>
      </c>
      <c r="H425" s="1" t="s">
        <v>1731</v>
      </c>
      <c r="I425" s="1" t="s">
        <v>1732</v>
      </c>
      <c r="J425" s="1" t="s">
        <v>45</v>
      </c>
      <c r="K425" s="1" t="s">
        <v>219</v>
      </c>
      <c r="L425" s="1" t="s">
        <v>47</v>
      </c>
      <c r="M425" s="1" t="s">
        <v>48</v>
      </c>
      <c r="N425" s="1" t="s">
        <v>48</v>
      </c>
      <c r="O425" s="1" t="s">
        <v>220</v>
      </c>
      <c r="P425" s="1" t="s">
        <v>220</v>
      </c>
      <c r="Q425" s="1">
        <v>10296324</v>
      </c>
      <c r="R425" s="1" t="s">
        <v>1714</v>
      </c>
      <c r="S425" s="3" t="s">
        <v>1711</v>
      </c>
      <c r="T425" s="1" t="s">
        <v>52</v>
      </c>
      <c r="U425" s="1" t="s">
        <v>53</v>
      </c>
      <c r="V425" s="1" t="s">
        <v>54</v>
      </c>
      <c r="W425" s="1" t="s">
        <v>55</v>
      </c>
      <c r="X425" s="1">
        <v>1</v>
      </c>
      <c r="AA425" s="10"/>
      <c r="AB425" t="s">
        <v>1715</v>
      </c>
      <c r="AF425" s="10" t="s">
        <v>77</v>
      </c>
      <c r="AL425" s="24">
        <v>0.83333333333333337</v>
      </c>
      <c r="AM425" s="24">
        <v>0.20833333333333334</v>
      </c>
      <c r="AN425" s="24">
        <v>0.33333333333333331</v>
      </c>
    </row>
    <row r="426" spans="1:40" ht="14.25" customHeight="1">
      <c r="A426">
        <v>51</v>
      </c>
      <c r="B426" s="1">
        <v>10396436</v>
      </c>
      <c r="C426" s="1" t="s">
        <v>92</v>
      </c>
      <c r="D426" s="1" t="s">
        <v>1733</v>
      </c>
      <c r="E426" s="1" t="s">
        <v>1124</v>
      </c>
      <c r="F426" s="1" t="str">
        <f>D426&amp;" "&amp;E426</f>
        <v>ฉัตรชัย วรรณา</v>
      </c>
      <c r="G426" s="1" t="s">
        <v>1734</v>
      </c>
      <c r="H426" s="1" t="s">
        <v>1126</v>
      </c>
      <c r="I426" s="1" t="s">
        <v>1735</v>
      </c>
      <c r="J426" s="1" t="s">
        <v>45</v>
      </c>
      <c r="K426" s="2">
        <v>43833</v>
      </c>
      <c r="L426" s="1" t="s">
        <v>47</v>
      </c>
      <c r="M426" s="1" t="s">
        <v>48</v>
      </c>
      <c r="N426" s="1" t="s">
        <v>48</v>
      </c>
      <c r="O426" s="1" t="s">
        <v>1736</v>
      </c>
      <c r="P426" s="1" t="s">
        <v>1736</v>
      </c>
      <c r="Q426" s="1">
        <v>10296324</v>
      </c>
      <c r="R426" s="1" t="s">
        <v>1714</v>
      </c>
      <c r="S426" s="3" t="s">
        <v>1711</v>
      </c>
      <c r="T426" s="1" t="s">
        <v>52</v>
      </c>
      <c r="U426" s="1" t="s">
        <v>53</v>
      </c>
      <c r="V426" s="1" t="s">
        <v>54</v>
      </c>
      <c r="W426" s="1" t="s">
        <v>55</v>
      </c>
      <c r="X426" s="1">
        <v>1</v>
      </c>
      <c r="AA426" s="10"/>
      <c r="AB426" t="s">
        <v>1715</v>
      </c>
      <c r="AF426" s="10" t="s">
        <v>77</v>
      </c>
      <c r="AL426" s="24">
        <v>0.83333333333333337</v>
      </c>
      <c r="AM426" s="24">
        <v>0.20833333333333334</v>
      </c>
      <c r="AN426" s="24">
        <v>0.33333333333333331</v>
      </c>
    </row>
    <row r="427" spans="1:40" ht="14.25" customHeight="1">
      <c r="A427">
        <v>236</v>
      </c>
      <c r="B427" s="1">
        <v>10653672</v>
      </c>
      <c r="C427" s="1" t="s">
        <v>39</v>
      </c>
      <c r="D427" s="1" t="s">
        <v>117</v>
      </c>
      <c r="E427" s="1" t="s">
        <v>112</v>
      </c>
      <c r="F427" s="1" t="str">
        <f>D427&amp;" "&amp;E427</f>
        <v>สุวิมล ธรรมโชติ</v>
      </c>
      <c r="G427" s="1" t="s">
        <v>1737</v>
      </c>
      <c r="H427" s="1" t="s">
        <v>1738</v>
      </c>
      <c r="I427" s="1">
        <v>10653672</v>
      </c>
      <c r="J427" s="1" t="s">
        <v>45</v>
      </c>
      <c r="K427" s="2">
        <v>45664</v>
      </c>
      <c r="L427" s="1" t="s">
        <v>66</v>
      </c>
      <c r="M427" s="1" t="s">
        <v>48</v>
      </c>
      <c r="N427" s="1" t="s">
        <v>48</v>
      </c>
      <c r="O427" s="1" t="s">
        <v>89</v>
      </c>
      <c r="P427" s="1" t="s">
        <v>89</v>
      </c>
      <c r="Q427" s="1">
        <v>10298639</v>
      </c>
      <c r="R427" s="1" t="s">
        <v>1739</v>
      </c>
      <c r="S427" s="3" t="s">
        <v>1740</v>
      </c>
      <c r="T427" s="1" t="s">
        <v>52</v>
      </c>
      <c r="U427" s="1" t="s">
        <v>53</v>
      </c>
      <c r="V427" s="1" t="s">
        <v>54</v>
      </c>
      <c r="W427" s="1" t="s">
        <v>55</v>
      </c>
      <c r="X427" s="1">
        <v>1</v>
      </c>
      <c r="AA427" s="10"/>
      <c r="AB427" t="s">
        <v>1741</v>
      </c>
      <c r="AF427" t="s">
        <v>59</v>
      </c>
    </row>
    <row r="428" spans="1:40" ht="14.25" customHeight="1">
      <c r="A428">
        <v>53</v>
      </c>
      <c r="B428" s="1">
        <v>10396646</v>
      </c>
      <c r="C428" s="1" t="s">
        <v>39</v>
      </c>
      <c r="D428" s="1" t="s">
        <v>1742</v>
      </c>
      <c r="E428" s="1" t="s">
        <v>1743</v>
      </c>
      <c r="F428" s="1" t="str">
        <f>D428&amp;" "&amp;E428</f>
        <v>สมใจ มิ่งมณี</v>
      </c>
      <c r="G428" s="1" t="s">
        <v>1744</v>
      </c>
      <c r="H428" s="1" t="s">
        <v>1745</v>
      </c>
      <c r="I428" s="1">
        <v>10396646</v>
      </c>
      <c r="J428" s="1" t="s">
        <v>45</v>
      </c>
      <c r="K428" s="2">
        <v>43864</v>
      </c>
      <c r="L428" s="1" t="s">
        <v>66</v>
      </c>
      <c r="M428" s="1" t="s">
        <v>48</v>
      </c>
      <c r="N428" s="1" t="s">
        <v>48</v>
      </c>
      <c r="O428" s="1" t="s">
        <v>295</v>
      </c>
      <c r="P428" s="1" t="s">
        <v>295</v>
      </c>
      <c r="Q428" s="1">
        <v>10405176</v>
      </c>
      <c r="R428" s="1" t="s">
        <v>1746</v>
      </c>
      <c r="S428" s="3" t="s">
        <v>1740</v>
      </c>
      <c r="T428" s="1" t="s">
        <v>52</v>
      </c>
      <c r="U428" s="1" t="s">
        <v>53</v>
      </c>
      <c r="V428" s="1" t="s">
        <v>54</v>
      </c>
      <c r="W428" s="1" t="s">
        <v>55</v>
      </c>
      <c r="X428" s="1">
        <v>1</v>
      </c>
      <c r="AA428" s="10"/>
      <c r="AB428" t="s">
        <v>1741</v>
      </c>
      <c r="AF428" t="s">
        <v>59</v>
      </c>
    </row>
    <row r="429" spans="1:40" ht="14.25" customHeight="1">
      <c r="A429">
        <v>46</v>
      </c>
      <c r="B429" s="1">
        <v>10390514</v>
      </c>
      <c r="C429" s="1" t="s">
        <v>60</v>
      </c>
      <c r="D429" s="1" t="s">
        <v>1742</v>
      </c>
      <c r="E429" s="1" t="s">
        <v>1747</v>
      </c>
      <c r="F429" s="1" t="str">
        <f>D429&amp;" "&amp;E429</f>
        <v>สมใจ จีรัตน์</v>
      </c>
      <c r="G429" s="1" t="s">
        <v>867</v>
      </c>
      <c r="H429" s="1" t="s">
        <v>1748</v>
      </c>
      <c r="I429" s="1" t="s">
        <v>1749</v>
      </c>
      <c r="J429" s="1" t="s">
        <v>45</v>
      </c>
      <c r="K429" s="2">
        <v>43862</v>
      </c>
      <c r="L429" s="1" t="s">
        <v>47</v>
      </c>
      <c r="M429" s="1" t="s">
        <v>48</v>
      </c>
      <c r="N429" s="1" t="s">
        <v>48</v>
      </c>
      <c r="O429" s="1" t="s">
        <v>1750</v>
      </c>
      <c r="P429" s="1" t="s">
        <v>1750</v>
      </c>
      <c r="Q429" s="1">
        <v>10298640</v>
      </c>
      <c r="R429" s="1" t="s">
        <v>1751</v>
      </c>
      <c r="S429" s="3" t="s">
        <v>1740</v>
      </c>
      <c r="T429" s="1" t="s">
        <v>52</v>
      </c>
      <c r="U429" s="1" t="s">
        <v>53</v>
      </c>
      <c r="V429" s="1" t="s">
        <v>54</v>
      </c>
      <c r="W429" s="1" t="s">
        <v>55</v>
      </c>
      <c r="X429" s="1">
        <v>1</v>
      </c>
      <c r="AA429" s="10"/>
      <c r="AB429" t="s">
        <v>1741</v>
      </c>
      <c r="AF429" t="s">
        <v>59</v>
      </c>
    </row>
    <row r="430" spans="1:40" ht="14.25" customHeight="1">
      <c r="A430">
        <v>111</v>
      </c>
      <c r="B430" s="1">
        <v>10519999</v>
      </c>
      <c r="C430" s="1" t="s">
        <v>92</v>
      </c>
      <c r="D430" s="1" t="s">
        <v>1752</v>
      </c>
      <c r="E430" s="1" t="s">
        <v>1753</v>
      </c>
      <c r="F430" s="1" t="str">
        <f>D430&amp;" "&amp;E430</f>
        <v>ศุภณัฐ มหาพัณณาภรณ์</v>
      </c>
      <c r="G430" s="1" t="s">
        <v>1754</v>
      </c>
      <c r="H430" s="1" t="s">
        <v>1755</v>
      </c>
      <c r="I430" s="1">
        <v>10519999</v>
      </c>
      <c r="J430" s="1" t="s">
        <v>45</v>
      </c>
      <c r="K430" s="2">
        <v>44567</v>
      </c>
      <c r="L430" s="1" t="s">
        <v>66</v>
      </c>
      <c r="M430" s="1" t="s">
        <v>48</v>
      </c>
      <c r="N430" s="1" t="s">
        <v>48</v>
      </c>
      <c r="O430" s="1" t="s">
        <v>1756</v>
      </c>
      <c r="P430" s="1" t="s">
        <v>1756</v>
      </c>
      <c r="Q430" s="1">
        <v>10298639</v>
      </c>
      <c r="R430" s="1" t="s">
        <v>1739</v>
      </c>
      <c r="S430" s="3" t="s">
        <v>1740</v>
      </c>
      <c r="T430" s="1" t="s">
        <v>52</v>
      </c>
      <c r="U430" s="1" t="s">
        <v>53</v>
      </c>
      <c r="V430" s="1" t="s">
        <v>54</v>
      </c>
      <c r="W430" s="1" t="s">
        <v>55</v>
      </c>
      <c r="X430" s="1">
        <v>1</v>
      </c>
      <c r="AA430" s="10"/>
      <c r="AB430" t="s">
        <v>1741</v>
      </c>
      <c r="AF430" t="s">
        <v>59</v>
      </c>
    </row>
    <row r="431" spans="1:40" ht="14.25" customHeight="1">
      <c r="A431">
        <v>11</v>
      </c>
      <c r="B431" s="1">
        <v>10291674</v>
      </c>
      <c r="C431" s="1" t="s">
        <v>39</v>
      </c>
      <c r="D431" s="1" t="s">
        <v>1757</v>
      </c>
      <c r="E431" s="1" t="s">
        <v>1758</v>
      </c>
      <c r="F431" s="1" t="str">
        <f>D431&amp;" "&amp;E431</f>
        <v>วราพร เขียวสี</v>
      </c>
      <c r="G431" s="1" t="s">
        <v>1759</v>
      </c>
      <c r="H431" s="1" t="s">
        <v>1760</v>
      </c>
      <c r="I431" s="1" t="s">
        <v>1761</v>
      </c>
      <c r="J431" s="1" t="s">
        <v>45</v>
      </c>
      <c r="K431" s="1" t="s">
        <v>1762</v>
      </c>
      <c r="L431" s="1" t="s">
        <v>47</v>
      </c>
      <c r="M431" s="1" t="s">
        <v>48</v>
      </c>
      <c r="N431" s="1" t="s">
        <v>48</v>
      </c>
      <c r="O431" s="1" t="s">
        <v>1763</v>
      </c>
      <c r="P431" s="1" t="s">
        <v>1763</v>
      </c>
      <c r="Q431" s="1">
        <v>10405217</v>
      </c>
      <c r="R431" s="1" t="s">
        <v>1764</v>
      </c>
      <c r="S431" s="3" t="s">
        <v>1740</v>
      </c>
      <c r="T431" s="1" t="s">
        <v>52</v>
      </c>
      <c r="U431" s="1" t="s">
        <v>53</v>
      </c>
      <c r="V431" s="1" t="s">
        <v>54</v>
      </c>
      <c r="W431" s="1" t="s">
        <v>55</v>
      </c>
      <c r="X431" s="1">
        <v>1</v>
      </c>
      <c r="AA431" s="10"/>
      <c r="AB431" t="s">
        <v>1741</v>
      </c>
      <c r="AF431" t="s">
        <v>59</v>
      </c>
    </row>
    <row r="432" spans="1:40" ht="14.25" customHeight="1">
      <c r="A432">
        <v>338</v>
      </c>
      <c r="B432" s="1">
        <v>10673476</v>
      </c>
      <c r="C432" s="1" t="s">
        <v>39</v>
      </c>
      <c r="D432" s="1" t="s">
        <v>1124</v>
      </c>
      <c r="E432" s="1" t="s">
        <v>1765</v>
      </c>
      <c r="F432" s="1" t="str">
        <f>D432&amp;" "&amp;E432</f>
        <v>วรรณา หินอ่อน</v>
      </c>
      <c r="G432" s="1" t="s">
        <v>1126</v>
      </c>
      <c r="H432" s="1" t="s">
        <v>1766</v>
      </c>
      <c r="I432" s="1">
        <v>10673476</v>
      </c>
      <c r="J432" s="1" t="s">
        <v>45</v>
      </c>
      <c r="K432" s="1" t="s">
        <v>1235</v>
      </c>
      <c r="L432" s="1" t="s">
        <v>66</v>
      </c>
      <c r="M432" s="1" t="s">
        <v>48</v>
      </c>
      <c r="N432" s="1" t="s">
        <v>48</v>
      </c>
      <c r="O432" s="1" t="s">
        <v>471</v>
      </c>
      <c r="P432" s="1" t="s">
        <v>471</v>
      </c>
      <c r="Q432" s="1">
        <v>10405174</v>
      </c>
      <c r="R432" s="1" t="s">
        <v>1767</v>
      </c>
      <c r="S432" s="3" t="s">
        <v>1740</v>
      </c>
      <c r="T432" s="1" t="s">
        <v>52</v>
      </c>
      <c r="U432" s="1" t="s">
        <v>53</v>
      </c>
      <c r="V432" s="1" t="s">
        <v>54</v>
      </c>
      <c r="W432" s="1" t="s">
        <v>55</v>
      </c>
      <c r="X432" s="1">
        <v>1</v>
      </c>
      <c r="AA432" s="10"/>
      <c r="AB432" t="s">
        <v>1741</v>
      </c>
      <c r="AF432" t="s">
        <v>59</v>
      </c>
    </row>
    <row r="433" spans="1:40" ht="14.25" customHeight="1">
      <c r="A433">
        <v>33</v>
      </c>
      <c r="B433" s="1">
        <v>10359936</v>
      </c>
      <c r="C433" s="1" t="s">
        <v>60</v>
      </c>
      <c r="D433" s="1" t="s">
        <v>1768</v>
      </c>
      <c r="E433" s="1" t="s">
        <v>1769</v>
      </c>
      <c r="F433" s="1" t="str">
        <f>D433&amp;" "&amp;E433</f>
        <v>เพ็ณวดี ชูทอง</v>
      </c>
      <c r="G433" s="1" t="s">
        <v>1770</v>
      </c>
      <c r="H433" s="1" t="s">
        <v>1771</v>
      </c>
      <c r="I433" s="1">
        <v>10359936</v>
      </c>
      <c r="J433" s="1" t="s">
        <v>45</v>
      </c>
      <c r="K433" s="1" t="s">
        <v>1041</v>
      </c>
      <c r="L433" s="1" t="s">
        <v>66</v>
      </c>
      <c r="M433" s="1" t="s">
        <v>48</v>
      </c>
      <c r="N433" s="1" t="s">
        <v>48</v>
      </c>
      <c r="O433" s="1" t="s">
        <v>1042</v>
      </c>
      <c r="P433" s="1" t="s">
        <v>1042</v>
      </c>
      <c r="Q433" s="1">
        <v>10298639</v>
      </c>
      <c r="R433" s="1" t="s">
        <v>1739</v>
      </c>
      <c r="S433" s="3" t="s">
        <v>1740</v>
      </c>
      <c r="T433" s="1" t="s">
        <v>52</v>
      </c>
      <c r="U433" s="1" t="s">
        <v>53</v>
      </c>
      <c r="V433" s="1" t="s">
        <v>54</v>
      </c>
      <c r="W433" s="1" t="s">
        <v>55</v>
      </c>
      <c r="X433" s="1">
        <v>1</v>
      </c>
      <c r="AA433" s="10"/>
      <c r="AB433" t="s">
        <v>1741</v>
      </c>
      <c r="AF433" t="s">
        <v>59</v>
      </c>
    </row>
    <row r="434" spans="1:40" ht="14.25" customHeight="1">
      <c r="A434">
        <v>66</v>
      </c>
      <c r="B434" s="1">
        <v>10414447</v>
      </c>
      <c r="C434" s="1" t="s">
        <v>39</v>
      </c>
      <c r="D434" s="1" t="s">
        <v>917</v>
      </c>
      <c r="E434" s="1" t="s">
        <v>1772</v>
      </c>
      <c r="F434" s="1" t="str">
        <f>D434&amp;" "&amp;E434</f>
        <v>นิตยา แก้วดอนไพร</v>
      </c>
      <c r="G434" s="1" t="s">
        <v>919</v>
      </c>
      <c r="H434" s="1" t="s">
        <v>1773</v>
      </c>
      <c r="I434" s="1">
        <v>10414447</v>
      </c>
      <c r="J434" s="1" t="s">
        <v>45</v>
      </c>
      <c r="K434" s="2">
        <v>43842</v>
      </c>
      <c r="L434" s="1" t="s">
        <v>66</v>
      </c>
      <c r="M434" s="1" t="s">
        <v>48</v>
      </c>
      <c r="N434" s="1" t="s">
        <v>48</v>
      </c>
      <c r="O434" s="1" t="s">
        <v>1774</v>
      </c>
      <c r="P434" s="1" t="s">
        <v>1774</v>
      </c>
      <c r="Q434" s="1">
        <v>10405174</v>
      </c>
      <c r="R434" s="1" t="s">
        <v>1767</v>
      </c>
      <c r="S434" s="3" t="s">
        <v>1740</v>
      </c>
      <c r="T434" s="1" t="s">
        <v>52</v>
      </c>
      <c r="U434" s="1" t="s">
        <v>53</v>
      </c>
      <c r="V434" s="1" t="s">
        <v>54</v>
      </c>
      <c r="W434" s="1" t="s">
        <v>55</v>
      </c>
      <c r="X434" s="1">
        <v>1</v>
      </c>
      <c r="AA434" s="10"/>
      <c r="AB434" t="s">
        <v>1741</v>
      </c>
      <c r="AF434" t="s">
        <v>59</v>
      </c>
    </row>
    <row r="435" spans="1:40" ht="14.25" customHeight="1">
      <c r="A435">
        <v>336</v>
      </c>
      <c r="B435" s="1">
        <v>10673464</v>
      </c>
      <c r="C435" s="1" t="s">
        <v>39</v>
      </c>
      <c r="D435" s="1" t="s">
        <v>1775</v>
      </c>
      <c r="E435" s="1" t="s">
        <v>1776</v>
      </c>
      <c r="F435" s="1" t="str">
        <f>D435&amp;" "&amp;E435</f>
        <v>ฐิตาภรณ์ ชมเชย</v>
      </c>
      <c r="G435" s="1" t="s">
        <v>1777</v>
      </c>
      <c r="H435" s="1" t="s">
        <v>1778</v>
      </c>
      <c r="I435" s="1">
        <v>10673464</v>
      </c>
      <c r="J435" s="1" t="s">
        <v>45</v>
      </c>
      <c r="K435" s="1" t="s">
        <v>1235</v>
      </c>
      <c r="L435" s="1" t="s">
        <v>66</v>
      </c>
      <c r="M435" s="1" t="s">
        <v>48</v>
      </c>
      <c r="N435" s="1" t="s">
        <v>48</v>
      </c>
      <c r="O435" s="1" t="s">
        <v>471</v>
      </c>
      <c r="P435" s="1" t="s">
        <v>471</v>
      </c>
      <c r="Q435" s="1">
        <v>10298639</v>
      </c>
      <c r="R435" s="1" t="s">
        <v>1739</v>
      </c>
      <c r="S435" s="3" t="s">
        <v>1740</v>
      </c>
      <c r="T435" s="1" t="s">
        <v>52</v>
      </c>
      <c r="U435" s="1" t="s">
        <v>53</v>
      </c>
      <c r="V435" s="1" t="s">
        <v>54</v>
      </c>
      <c r="W435" s="1" t="s">
        <v>55</v>
      </c>
      <c r="X435" s="1">
        <v>1</v>
      </c>
      <c r="AA435" s="10"/>
      <c r="AB435" t="s">
        <v>1741</v>
      </c>
      <c r="AF435" t="s">
        <v>59</v>
      </c>
    </row>
    <row r="436" spans="1:40" ht="14.25" customHeight="1">
      <c r="A436">
        <v>31</v>
      </c>
      <c r="B436" s="1">
        <v>10359808</v>
      </c>
      <c r="C436" s="1" t="s">
        <v>92</v>
      </c>
      <c r="D436" s="1" t="s">
        <v>1779</v>
      </c>
      <c r="E436" s="1" t="s">
        <v>1780</v>
      </c>
      <c r="F436" s="1" t="str">
        <f>D436&amp;" "&amp;E436</f>
        <v>คมกริช คุ้มพงษ์</v>
      </c>
      <c r="G436" s="1" t="s">
        <v>1781</v>
      </c>
      <c r="H436" s="1" t="s">
        <v>1782</v>
      </c>
      <c r="I436" s="1">
        <v>10359808</v>
      </c>
      <c r="J436" s="1" t="s">
        <v>45</v>
      </c>
      <c r="K436" s="1" t="s">
        <v>1041</v>
      </c>
      <c r="L436" s="1" t="s">
        <v>66</v>
      </c>
      <c r="M436" s="1" t="s">
        <v>48</v>
      </c>
      <c r="N436" s="1" t="s">
        <v>48</v>
      </c>
      <c r="O436" s="1" t="s">
        <v>1042</v>
      </c>
      <c r="P436" s="1" t="s">
        <v>1042</v>
      </c>
      <c r="Q436" s="1">
        <v>10405176</v>
      </c>
      <c r="R436" s="1" t="s">
        <v>1746</v>
      </c>
      <c r="S436" s="3" t="s">
        <v>1740</v>
      </c>
      <c r="T436" s="1" t="s">
        <v>52</v>
      </c>
      <c r="U436" s="1" t="s">
        <v>53</v>
      </c>
      <c r="V436" s="1" t="s">
        <v>54</v>
      </c>
      <c r="W436" s="1" t="s">
        <v>55</v>
      </c>
      <c r="X436" s="1">
        <v>1</v>
      </c>
      <c r="AA436" s="10"/>
      <c r="AB436" t="s">
        <v>1741</v>
      </c>
      <c r="AF436" t="s">
        <v>59</v>
      </c>
    </row>
    <row r="437" spans="1:40" ht="14.25" customHeight="1">
      <c r="A437">
        <v>28</v>
      </c>
      <c r="B437" s="1">
        <v>10351013</v>
      </c>
      <c r="C437" s="1" t="s">
        <v>39</v>
      </c>
      <c r="D437" s="1" t="s">
        <v>1167</v>
      </c>
      <c r="E437" s="1" t="s">
        <v>1132</v>
      </c>
      <c r="F437" s="1" t="str">
        <f>D437&amp;" "&amp;E437</f>
        <v>เกษร บุญมา</v>
      </c>
      <c r="G437" s="1" t="s">
        <v>1501</v>
      </c>
      <c r="H437" s="1" t="s">
        <v>1194</v>
      </c>
      <c r="I437" s="1" t="s">
        <v>1783</v>
      </c>
      <c r="J437" s="1" t="s">
        <v>45</v>
      </c>
      <c r="K437" s="2">
        <v>43382</v>
      </c>
      <c r="L437" s="1" t="s">
        <v>47</v>
      </c>
      <c r="M437" s="1" t="s">
        <v>48</v>
      </c>
      <c r="N437" s="1" t="s">
        <v>48</v>
      </c>
      <c r="O437" s="2">
        <v>43647</v>
      </c>
      <c r="P437" s="2">
        <v>43647</v>
      </c>
      <c r="Q437" s="1">
        <v>10298640</v>
      </c>
      <c r="R437" s="1" t="s">
        <v>1751</v>
      </c>
      <c r="S437" s="3" t="s">
        <v>1740</v>
      </c>
      <c r="T437" s="1" t="s">
        <v>52</v>
      </c>
      <c r="U437" s="1" t="s">
        <v>53</v>
      </c>
      <c r="V437" s="1" t="s">
        <v>54</v>
      </c>
      <c r="W437" s="1" t="s">
        <v>55</v>
      </c>
      <c r="X437" s="1">
        <v>1</v>
      </c>
      <c r="AA437" s="10"/>
      <c r="AB437" t="s">
        <v>1741</v>
      </c>
      <c r="AF437" t="s">
        <v>59</v>
      </c>
    </row>
    <row r="438" spans="1:40" ht="14.25" customHeight="1">
      <c r="A438">
        <v>146</v>
      </c>
      <c r="B438" s="1">
        <v>10561496</v>
      </c>
      <c r="C438" s="1" t="s">
        <v>39</v>
      </c>
      <c r="D438" s="1" t="s">
        <v>1784</v>
      </c>
      <c r="E438" s="1" t="s">
        <v>1785</v>
      </c>
      <c r="F438" s="1" t="str">
        <f>D438&amp;" "&amp;E438</f>
        <v>กาญจนา เฟื่องอาวรณ์</v>
      </c>
      <c r="G438" s="1" t="s">
        <v>1234</v>
      </c>
      <c r="H438" s="1" t="s">
        <v>1786</v>
      </c>
      <c r="I438" s="1" t="s">
        <v>1787</v>
      </c>
      <c r="J438" s="1" t="s">
        <v>45</v>
      </c>
      <c r="K438" s="2">
        <v>44933</v>
      </c>
      <c r="L438" s="1" t="s">
        <v>47</v>
      </c>
      <c r="M438" s="1" t="s">
        <v>48</v>
      </c>
      <c r="N438" s="1" t="s">
        <v>48</v>
      </c>
      <c r="O438" s="1" t="s">
        <v>447</v>
      </c>
      <c r="P438" s="1" t="s">
        <v>447</v>
      </c>
      <c r="Q438" s="1">
        <v>10366622</v>
      </c>
      <c r="R438" s="1" t="s">
        <v>1788</v>
      </c>
      <c r="S438" s="3" t="s">
        <v>1740</v>
      </c>
      <c r="T438" s="1" t="s">
        <v>52</v>
      </c>
      <c r="U438" s="1" t="s">
        <v>53</v>
      </c>
      <c r="V438" s="1" t="s">
        <v>54</v>
      </c>
      <c r="W438" s="1" t="s">
        <v>55</v>
      </c>
      <c r="X438" s="1">
        <v>1</v>
      </c>
      <c r="AA438" s="10"/>
      <c r="AB438" t="s">
        <v>1741</v>
      </c>
      <c r="AF438" t="s">
        <v>59</v>
      </c>
    </row>
    <row r="439" spans="1:40" ht="15" customHeight="1">
      <c r="A439">
        <v>169</v>
      </c>
      <c r="B439" s="1">
        <v>10602984</v>
      </c>
      <c r="C439" s="1" t="s">
        <v>60</v>
      </c>
      <c r="D439" s="1" t="s">
        <v>495</v>
      </c>
      <c r="E439" s="1" t="s">
        <v>1789</v>
      </c>
      <c r="F439" s="1" t="str">
        <f>D439&amp;" "&amp;E439</f>
        <v>สุภาพร อุทัยชาติ</v>
      </c>
      <c r="G439" s="1" t="s">
        <v>1790</v>
      </c>
      <c r="H439" s="1" t="s">
        <v>1791</v>
      </c>
      <c r="I439" s="1">
        <v>10602984</v>
      </c>
      <c r="J439" s="1" t="s">
        <v>45</v>
      </c>
      <c r="K439" s="2">
        <v>45295</v>
      </c>
      <c r="L439" s="1" t="s">
        <v>66</v>
      </c>
      <c r="M439" s="1" t="s">
        <v>48</v>
      </c>
      <c r="N439" s="1" t="s">
        <v>48</v>
      </c>
      <c r="O439" s="1" t="s">
        <v>551</v>
      </c>
      <c r="P439" s="1" t="s">
        <v>551</v>
      </c>
      <c r="Q439" s="1">
        <v>10298639</v>
      </c>
      <c r="R439" s="1" t="s">
        <v>1739</v>
      </c>
      <c r="S439" s="3" t="s">
        <v>1740</v>
      </c>
      <c r="T439" s="1" t="s">
        <v>52</v>
      </c>
      <c r="U439" s="1" t="s">
        <v>53</v>
      </c>
      <c r="V439" s="1" t="s">
        <v>54</v>
      </c>
      <c r="W439" s="1" t="s">
        <v>55</v>
      </c>
      <c r="X439" s="1">
        <v>1</v>
      </c>
      <c r="AA439" s="10"/>
      <c r="AB439" t="s">
        <v>1792</v>
      </c>
      <c r="AC439" s="33" t="s">
        <v>84</v>
      </c>
      <c r="AF439" t="s">
        <v>59</v>
      </c>
      <c r="AI439" s="24">
        <v>0.25</v>
      </c>
      <c r="AJ439" s="24">
        <v>0.625</v>
      </c>
      <c r="AK439" s="24">
        <v>0.75</v>
      </c>
    </row>
    <row r="440" spans="1:40" ht="15" customHeight="1">
      <c r="A440">
        <v>96</v>
      </c>
      <c r="B440" s="1">
        <v>10506518</v>
      </c>
      <c r="C440" s="1" t="s">
        <v>39</v>
      </c>
      <c r="D440" s="1" t="s">
        <v>611</v>
      </c>
      <c r="E440" s="1" t="s">
        <v>1793</v>
      </c>
      <c r="F440" s="1" t="str">
        <f>D440&amp;" "&amp;E440</f>
        <v>สายฝน เอกตาแสง</v>
      </c>
      <c r="G440" s="1" t="s">
        <v>1794</v>
      </c>
      <c r="H440" s="1" t="s">
        <v>1795</v>
      </c>
      <c r="I440" s="1">
        <v>10506518</v>
      </c>
      <c r="J440" s="1" t="s">
        <v>45</v>
      </c>
      <c r="K440" s="1" t="s">
        <v>1073</v>
      </c>
      <c r="L440" s="1" t="s">
        <v>66</v>
      </c>
      <c r="M440" s="1" t="s">
        <v>48</v>
      </c>
      <c r="N440" s="1" t="s">
        <v>48</v>
      </c>
      <c r="O440" s="1" t="s">
        <v>1074</v>
      </c>
      <c r="P440" s="1" t="s">
        <v>1074</v>
      </c>
      <c r="Q440" s="1">
        <v>10298639</v>
      </c>
      <c r="R440" s="1" t="s">
        <v>1739</v>
      </c>
      <c r="S440" s="3" t="s">
        <v>1740</v>
      </c>
      <c r="T440" s="1" t="s">
        <v>52</v>
      </c>
      <c r="U440" s="1" t="s">
        <v>53</v>
      </c>
      <c r="V440" s="1" t="s">
        <v>54</v>
      </c>
      <c r="W440" s="1" t="s">
        <v>55</v>
      </c>
      <c r="X440" s="1">
        <v>1</v>
      </c>
      <c r="AA440" s="10"/>
      <c r="AB440" t="s">
        <v>1792</v>
      </c>
      <c r="AC440" s="33" t="s">
        <v>58</v>
      </c>
      <c r="AF440" t="s">
        <v>59</v>
      </c>
      <c r="AI440" s="24">
        <v>0.25</v>
      </c>
      <c r="AJ440" s="24">
        <v>0.625</v>
      </c>
      <c r="AK440" s="24">
        <v>0.75</v>
      </c>
    </row>
    <row r="441" spans="1:40" ht="15" customHeight="1">
      <c r="A441">
        <v>347</v>
      </c>
      <c r="B441" s="1">
        <v>10680133</v>
      </c>
      <c r="C441" s="1" t="s">
        <v>60</v>
      </c>
      <c r="D441" s="1" t="s">
        <v>1796</v>
      </c>
      <c r="E441" s="1" t="s">
        <v>1797</v>
      </c>
      <c r="F441" s="1" t="str">
        <f>D441&amp;" "&amp;E441</f>
        <v>สมพาน ภูอาลัย</v>
      </c>
      <c r="G441" s="1" t="s">
        <v>1798</v>
      </c>
      <c r="H441" s="1" t="s">
        <v>1799</v>
      </c>
      <c r="I441" s="1">
        <v>10680133</v>
      </c>
      <c r="J441" s="1" t="s">
        <v>45</v>
      </c>
      <c r="K441" s="1" t="s">
        <v>97</v>
      </c>
      <c r="L441" s="1" t="s">
        <v>66</v>
      </c>
      <c r="M441" s="1" t="s">
        <v>48</v>
      </c>
      <c r="N441" s="1" t="s">
        <v>98</v>
      </c>
      <c r="O441" s="1" t="s">
        <v>99</v>
      </c>
      <c r="P441" s="1" t="s">
        <v>100</v>
      </c>
      <c r="Q441" s="1">
        <v>10298639</v>
      </c>
      <c r="R441" s="1" t="s">
        <v>1739</v>
      </c>
      <c r="S441" s="3" t="s">
        <v>1740</v>
      </c>
      <c r="T441" s="1" t="s">
        <v>52</v>
      </c>
      <c r="U441" s="1" t="s">
        <v>53</v>
      </c>
      <c r="V441" s="1" t="s">
        <v>54</v>
      </c>
      <c r="W441" s="1" t="s">
        <v>55</v>
      </c>
      <c r="X441" s="1">
        <v>1</v>
      </c>
      <c r="AA441" s="10"/>
      <c r="AB441" t="s">
        <v>1792</v>
      </c>
      <c r="AC441" s="33" t="s">
        <v>69</v>
      </c>
      <c r="AF441" t="s">
        <v>59</v>
      </c>
      <c r="AI441" s="24">
        <v>0.25</v>
      </c>
      <c r="AJ441" s="24">
        <v>0.625</v>
      </c>
      <c r="AK441" s="24">
        <v>0.75</v>
      </c>
    </row>
    <row r="442" spans="1:40" ht="15" customHeight="1">
      <c r="A442">
        <v>97</v>
      </c>
      <c r="B442" s="1">
        <v>10506528</v>
      </c>
      <c r="C442" s="1" t="s">
        <v>39</v>
      </c>
      <c r="D442" s="1" t="s">
        <v>1800</v>
      </c>
      <c r="E442" s="1" t="s">
        <v>1747</v>
      </c>
      <c r="F442" s="1" t="str">
        <f>D442&amp;" "&amp;E442</f>
        <v>อรณี จีรัตน์</v>
      </c>
      <c r="G442" s="1" t="s">
        <v>1801</v>
      </c>
      <c r="H442" s="1" t="s">
        <v>1802</v>
      </c>
      <c r="I442" s="1">
        <v>10506528</v>
      </c>
      <c r="J442" s="1" t="s">
        <v>45</v>
      </c>
      <c r="K442" s="1" t="s">
        <v>1073</v>
      </c>
      <c r="L442" s="1" t="s">
        <v>66</v>
      </c>
      <c r="M442" s="1" t="s">
        <v>48</v>
      </c>
      <c r="N442" s="1" t="s">
        <v>48</v>
      </c>
      <c r="O442" s="1" t="s">
        <v>1074</v>
      </c>
      <c r="P442" s="1" t="s">
        <v>1074</v>
      </c>
      <c r="Q442" s="1">
        <v>10298639</v>
      </c>
      <c r="R442" s="1" t="s">
        <v>1739</v>
      </c>
      <c r="S442" s="3" t="s">
        <v>1740</v>
      </c>
      <c r="T442" s="1" t="s">
        <v>52</v>
      </c>
      <c r="U442" s="1" t="s">
        <v>53</v>
      </c>
      <c r="V442" s="1" t="s">
        <v>54</v>
      </c>
      <c r="W442" s="1" t="s">
        <v>55</v>
      </c>
      <c r="X442" s="1">
        <v>1</v>
      </c>
      <c r="AA442" s="10"/>
      <c r="AB442" t="s">
        <v>1792</v>
      </c>
      <c r="AC442" s="33" t="s">
        <v>212</v>
      </c>
      <c r="AF442" t="s">
        <v>77</v>
      </c>
      <c r="AL442" s="24">
        <v>0.75</v>
      </c>
      <c r="AM442" s="24">
        <v>0.125</v>
      </c>
      <c r="AN442" s="24">
        <v>0.25</v>
      </c>
    </row>
    <row r="443" spans="1:40" ht="15" customHeight="1">
      <c r="A443">
        <v>164</v>
      </c>
      <c r="B443" s="1">
        <v>10596984</v>
      </c>
      <c r="C443" s="1" t="s">
        <v>39</v>
      </c>
      <c r="D443" s="1" t="s">
        <v>1803</v>
      </c>
      <c r="E443" s="1" t="s">
        <v>1804</v>
      </c>
      <c r="F443" s="1" t="str">
        <f>D443&amp;" "&amp;E443</f>
        <v>สุปราณี บุญศรีภิรัตน์</v>
      </c>
      <c r="G443" s="1" t="s">
        <v>1805</v>
      </c>
      <c r="H443" s="1" t="s">
        <v>1806</v>
      </c>
      <c r="I443" s="1">
        <v>10596984</v>
      </c>
      <c r="J443" s="1" t="s">
        <v>45</v>
      </c>
      <c r="K443" s="2">
        <v>45475</v>
      </c>
      <c r="L443" s="1" t="s">
        <v>66</v>
      </c>
      <c r="M443" s="1" t="s">
        <v>48</v>
      </c>
      <c r="N443" s="1" t="s">
        <v>48</v>
      </c>
      <c r="O443" s="2">
        <v>45418</v>
      </c>
      <c r="P443" s="2">
        <v>45418</v>
      </c>
      <c r="Q443" s="1">
        <v>10298639</v>
      </c>
      <c r="R443" s="1" t="s">
        <v>1739</v>
      </c>
      <c r="S443" s="3" t="s">
        <v>1740</v>
      </c>
      <c r="T443" s="1" t="s">
        <v>52</v>
      </c>
      <c r="U443" s="1" t="s">
        <v>53</v>
      </c>
      <c r="V443" s="1" t="s">
        <v>54</v>
      </c>
      <c r="W443" s="1" t="s">
        <v>55</v>
      </c>
      <c r="X443" s="1">
        <v>1</v>
      </c>
      <c r="AA443" s="10"/>
      <c r="AB443" t="s">
        <v>1792</v>
      </c>
      <c r="AC443" s="33" t="s">
        <v>138</v>
      </c>
      <c r="AF443" t="s">
        <v>77</v>
      </c>
      <c r="AL443" s="24">
        <v>0.75</v>
      </c>
      <c r="AM443" s="24">
        <v>0.125</v>
      </c>
      <c r="AN443" s="24">
        <v>0.25</v>
      </c>
    </row>
    <row r="444" spans="1:40" ht="15" customHeight="1">
      <c r="A444">
        <v>302</v>
      </c>
      <c r="B444" s="1">
        <v>10666759</v>
      </c>
      <c r="C444" s="1" t="s">
        <v>60</v>
      </c>
      <c r="D444" s="1" t="s">
        <v>1807</v>
      </c>
      <c r="E444" s="1" t="s">
        <v>1808</v>
      </c>
      <c r="F444" s="1" t="str">
        <f>D444&amp;" "&amp;E444</f>
        <v>พัชรพรรณ เพชรวิจิตร</v>
      </c>
      <c r="G444" s="1" t="s">
        <v>1809</v>
      </c>
      <c r="H444" s="1" t="s">
        <v>1810</v>
      </c>
      <c r="I444" s="1">
        <v>10666759</v>
      </c>
      <c r="J444" s="1" t="s">
        <v>45</v>
      </c>
      <c r="K444" s="1" t="s">
        <v>877</v>
      </c>
      <c r="L444" s="1" t="s">
        <v>66</v>
      </c>
      <c r="M444" s="1" t="s">
        <v>48</v>
      </c>
      <c r="N444" s="1" t="s">
        <v>48</v>
      </c>
      <c r="O444" s="1" t="s">
        <v>878</v>
      </c>
      <c r="P444" s="1" t="s">
        <v>878</v>
      </c>
      <c r="Q444" s="1">
        <v>10298639</v>
      </c>
      <c r="R444" s="1" t="s">
        <v>1739</v>
      </c>
      <c r="S444" s="3" t="s">
        <v>1740</v>
      </c>
      <c r="T444" s="1" t="s">
        <v>52</v>
      </c>
      <c r="U444" s="1" t="s">
        <v>53</v>
      </c>
      <c r="V444" s="1" t="s">
        <v>54</v>
      </c>
      <c r="W444" s="1" t="s">
        <v>55</v>
      </c>
      <c r="X444" s="1">
        <v>1</v>
      </c>
      <c r="AA444" s="10"/>
      <c r="AB444" t="s">
        <v>1811</v>
      </c>
      <c r="AC444" s="33" t="s">
        <v>84</v>
      </c>
      <c r="AF444" t="s">
        <v>59</v>
      </c>
      <c r="AI444" s="24">
        <v>0.33333333333333331</v>
      </c>
      <c r="AJ444" s="24">
        <v>0.70833333333333337</v>
      </c>
      <c r="AK444" s="24">
        <v>0.83333333333333337</v>
      </c>
    </row>
    <row r="445" spans="1:40" ht="15" customHeight="1">
      <c r="A445">
        <v>43</v>
      </c>
      <c r="B445" s="1">
        <v>10384258</v>
      </c>
      <c r="C445" s="1" t="s">
        <v>39</v>
      </c>
      <c r="D445" s="1" t="s">
        <v>1812</v>
      </c>
      <c r="E445" s="1" t="s">
        <v>1813</v>
      </c>
      <c r="F445" s="1" t="str">
        <f>D445&amp;" "&amp;E445</f>
        <v>ธัญวรัตน์ เจริญสลุง</v>
      </c>
      <c r="G445" s="1" t="s">
        <v>1814</v>
      </c>
      <c r="H445" s="1" t="s">
        <v>1815</v>
      </c>
      <c r="I445" s="1">
        <v>10384258</v>
      </c>
      <c r="J445" s="1" t="s">
        <v>45</v>
      </c>
      <c r="K445" s="1" t="s">
        <v>1105</v>
      </c>
      <c r="L445" s="1" t="s">
        <v>66</v>
      </c>
      <c r="M445" s="1" t="s">
        <v>48</v>
      </c>
      <c r="N445" s="1" t="s">
        <v>48</v>
      </c>
      <c r="O445" s="1" t="s">
        <v>1106</v>
      </c>
      <c r="P445" s="1" t="s">
        <v>1106</v>
      </c>
      <c r="Q445" s="1">
        <v>10405175</v>
      </c>
      <c r="R445" s="1" t="s">
        <v>1816</v>
      </c>
      <c r="S445" s="3" t="s">
        <v>1740</v>
      </c>
      <c r="T445" s="1" t="s">
        <v>52</v>
      </c>
      <c r="U445" s="1" t="s">
        <v>53</v>
      </c>
      <c r="V445" s="1" t="s">
        <v>54</v>
      </c>
      <c r="W445" s="1" t="s">
        <v>55</v>
      </c>
      <c r="X445" s="1">
        <v>1</v>
      </c>
      <c r="AA445" s="10"/>
      <c r="AB445" t="s">
        <v>1811</v>
      </c>
      <c r="AC445" s="33" t="s">
        <v>91</v>
      </c>
      <c r="AF445" t="s">
        <v>59</v>
      </c>
      <c r="AI445" s="24">
        <v>0.33333333333333331</v>
      </c>
      <c r="AJ445" s="24">
        <v>0.70833333333333337</v>
      </c>
      <c r="AK445" s="24">
        <v>0.83333333333333337</v>
      </c>
    </row>
    <row r="446" spans="1:40" ht="15" customHeight="1">
      <c r="A446">
        <v>209</v>
      </c>
      <c r="B446" s="1">
        <v>10639718</v>
      </c>
      <c r="C446" s="1" t="s">
        <v>92</v>
      </c>
      <c r="D446" s="1" t="s">
        <v>1817</v>
      </c>
      <c r="E446" s="1" t="s">
        <v>1818</v>
      </c>
      <c r="F446" s="1" t="str">
        <f>D446&amp;" "&amp;E446</f>
        <v>โชคอนันต์ สุดดี</v>
      </c>
      <c r="G446" s="1" t="s">
        <v>1819</v>
      </c>
      <c r="H446" s="1" t="s">
        <v>1820</v>
      </c>
      <c r="I446" s="1">
        <v>10639718</v>
      </c>
      <c r="J446" s="1" t="s">
        <v>45</v>
      </c>
      <c r="K446" s="2">
        <v>45719</v>
      </c>
      <c r="L446" s="1" t="s">
        <v>66</v>
      </c>
      <c r="M446" s="1" t="s">
        <v>48</v>
      </c>
      <c r="N446" s="1" t="s">
        <v>48</v>
      </c>
      <c r="O446" s="1" t="s">
        <v>1309</v>
      </c>
      <c r="P446" s="1" t="s">
        <v>1309</v>
      </c>
      <c r="Q446" s="1">
        <v>10405175</v>
      </c>
      <c r="R446" s="1" t="s">
        <v>1816</v>
      </c>
      <c r="S446" s="3" t="s">
        <v>1740</v>
      </c>
      <c r="T446" s="1" t="s">
        <v>52</v>
      </c>
      <c r="U446" s="1" t="s">
        <v>53</v>
      </c>
      <c r="V446" s="1" t="s">
        <v>54</v>
      </c>
      <c r="W446" s="1" t="s">
        <v>55</v>
      </c>
      <c r="X446" s="1">
        <v>1</v>
      </c>
      <c r="AA446" s="10"/>
      <c r="AB446" t="s">
        <v>1811</v>
      </c>
      <c r="AC446" s="33" t="s">
        <v>138</v>
      </c>
      <c r="AF446" t="s">
        <v>59</v>
      </c>
      <c r="AI446" s="24">
        <v>0.33333333333333331</v>
      </c>
      <c r="AJ446" s="24">
        <v>0.70833333333333337</v>
      </c>
      <c r="AK446" s="24">
        <v>0.83333333333333337</v>
      </c>
    </row>
    <row r="447" spans="1:40" ht="15" customHeight="1">
      <c r="A447">
        <v>339</v>
      </c>
      <c r="B447" s="1">
        <v>10673481</v>
      </c>
      <c r="C447" s="1" t="s">
        <v>92</v>
      </c>
      <c r="D447" s="1" t="s">
        <v>1821</v>
      </c>
      <c r="E447" s="1" t="s">
        <v>1822</v>
      </c>
      <c r="F447" s="1" t="str">
        <f>D447&amp;" "&amp;E447</f>
        <v>เสาร์ หอมหวล</v>
      </c>
      <c r="G447" s="1" t="s">
        <v>1823</v>
      </c>
      <c r="H447" s="1" t="s">
        <v>1824</v>
      </c>
      <c r="I447" s="1">
        <v>10673481</v>
      </c>
      <c r="J447" s="1" t="s">
        <v>45</v>
      </c>
      <c r="K447" s="1" t="s">
        <v>1235</v>
      </c>
      <c r="L447" s="1" t="s">
        <v>66</v>
      </c>
      <c r="M447" s="1" t="s">
        <v>48</v>
      </c>
      <c r="N447" s="1" t="s">
        <v>48</v>
      </c>
      <c r="O447" s="1" t="s">
        <v>471</v>
      </c>
      <c r="P447" s="1" t="s">
        <v>471</v>
      </c>
      <c r="Q447" s="1">
        <v>10298639</v>
      </c>
      <c r="R447" s="1" t="s">
        <v>1739</v>
      </c>
      <c r="S447" s="3" t="s">
        <v>1740</v>
      </c>
      <c r="T447" s="1" t="s">
        <v>52</v>
      </c>
      <c r="U447" s="1" t="s">
        <v>53</v>
      </c>
      <c r="V447" s="1" t="s">
        <v>54</v>
      </c>
      <c r="W447" s="1" t="s">
        <v>55</v>
      </c>
      <c r="X447" s="1">
        <v>1</v>
      </c>
      <c r="AA447" s="10"/>
      <c r="AB447" t="s">
        <v>1811</v>
      </c>
      <c r="AC447" s="33" t="s">
        <v>76</v>
      </c>
      <c r="AF447" t="s">
        <v>77</v>
      </c>
      <c r="AL447" s="24">
        <v>0.83333333333333337</v>
      </c>
      <c r="AM447" s="24">
        <v>0.20833333333333334</v>
      </c>
      <c r="AN447" s="24">
        <v>0.33333333333333331</v>
      </c>
    </row>
    <row r="448" spans="1:40" ht="15" customHeight="1">
      <c r="A448">
        <v>215</v>
      </c>
      <c r="B448" s="1">
        <v>10641180</v>
      </c>
      <c r="C448" s="1" t="s">
        <v>39</v>
      </c>
      <c r="D448" s="1" t="s">
        <v>1825</v>
      </c>
      <c r="E448" s="1" t="s">
        <v>1826</v>
      </c>
      <c r="F448" s="1" t="str">
        <f>D448&amp;" "&amp;E448</f>
        <v>ศิริเพ็ญ ประสานตรี</v>
      </c>
      <c r="G448" s="1" t="s">
        <v>1827</v>
      </c>
      <c r="H448" s="1" t="s">
        <v>1828</v>
      </c>
      <c r="I448" s="1">
        <v>10641180</v>
      </c>
      <c r="J448" s="1" t="s">
        <v>45</v>
      </c>
      <c r="K448" s="1" t="s">
        <v>179</v>
      </c>
      <c r="L448" s="1" t="s">
        <v>66</v>
      </c>
      <c r="M448" s="1" t="s">
        <v>48</v>
      </c>
      <c r="N448" s="1" t="s">
        <v>48</v>
      </c>
      <c r="O448" s="1" t="s">
        <v>180</v>
      </c>
      <c r="P448" s="1" t="s">
        <v>180</v>
      </c>
      <c r="Q448" s="1">
        <v>10405175</v>
      </c>
      <c r="R448" s="1" t="s">
        <v>1816</v>
      </c>
      <c r="S448" s="3" t="s">
        <v>1740</v>
      </c>
      <c r="T448" s="1" t="s">
        <v>52</v>
      </c>
      <c r="U448" s="1" t="s">
        <v>53</v>
      </c>
      <c r="V448" s="1" t="s">
        <v>54</v>
      </c>
      <c r="W448" s="1" t="s">
        <v>55</v>
      </c>
      <c r="X448" s="1">
        <v>1</v>
      </c>
      <c r="AA448" s="10"/>
      <c r="AB448" t="s">
        <v>1811</v>
      </c>
      <c r="AC448" s="33" t="s">
        <v>138</v>
      </c>
      <c r="AF448" t="s">
        <v>77</v>
      </c>
      <c r="AL448" s="24">
        <v>0.83333333333333337</v>
      </c>
      <c r="AM448" s="24">
        <v>0.20833333333333334</v>
      </c>
      <c r="AN448" s="24">
        <v>0.33333333333333331</v>
      </c>
    </row>
    <row r="449" spans="1:40" ht="15" customHeight="1">
      <c r="A449">
        <v>210</v>
      </c>
      <c r="B449" s="1">
        <v>10639761</v>
      </c>
      <c r="C449" s="1" t="s">
        <v>92</v>
      </c>
      <c r="D449" s="1" t="s">
        <v>1829</v>
      </c>
      <c r="E449" s="1" t="s">
        <v>1830</v>
      </c>
      <c r="F449" s="1" t="str">
        <f>D449&amp;" "&amp;E449</f>
        <v>ภูริทัต พานิช</v>
      </c>
      <c r="G449" s="1" t="s">
        <v>1831</v>
      </c>
      <c r="H449" s="1" t="s">
        <v>1832</v>
      </c>
      <c r="I449" s="1">
        <v>10639761</v>
      </c>
      <c r="J449" s="1" t="s">
        <v>45</v>
      </c>
      <c r="K449" s="2">
        <v>45719</v>
      </c>
      <c r="L449" s="1" t="s">
        <v>66</v>
      </c>
      <c r="M449" s="1" t="s">
        <v>48</v>
      </c>
      <c r="N449" s="1" t="s">
        <v>48</v>
      </c>
      <c r="O449" s="1" t="s">
        <v>1309</v>
      </c>
      <c r="P449" s="1" t="s">
        <v>1309</v>
      </c>
      <c r="Q449" s="1">
        <v>10405175</v>
      </c>
      <c r="R449" s="1" t="s">
        <v>1816</v>
      </c>
      <c r="S449" s="3" t="s">
        <v>1740</v>
      </c>
      <c r="T449" s="1" t="s">
        <v>52</v>
      </c>
      <c r="U449" s="1" t="s">
        <v>53</v>
      </c>
      <c r="V449" s="1" t="s">
        <v>54</v>
      </c>
      <c r="W449" s="1" t="s">
        <v>55</v>
      </c>
      <c r="X449" s="1">
        <v>1</v>
      </c>
      <c r="AA449" s="10"/>
      <c r="AB449" t="s">
        <v>1811</v>
      </c>
      <c r="AC449" s="33" t="s">
        <v>212</v>
      </c>
      <c r="AF449" t="s">
        <v>77</v>
      </c>
      <c r="AL449" s="24">
        <v>0.83333333333333337</v>
      </c>
      <c r="AM449" s="24">
        <v>0.20833333333333334</v>
      </c>
      <c r="AN449" s="24">
        <v>0.33333333333333331</v>
      </c>
    </row>
    <row r="450" spans="1:40" ht="15" customHeight="1">
      <c r="A450">
        <v>189</v>
      </c>
      <c r="B450" s="1">
        <v>10617287</v>
      </c>
      <c r="C450" s="1" t="s">
        <v>92</v>
      </c>
      <c r="D450" s="1" t="s">
        <v>1833</v>
      </c>
      <c r="E450" s="1" t="s">
        <v>1834</v>
      </c>
      <c r="F450" s="1" t="str">
        <f>D450&amp;" "&amp;E450</f>
        <v>ชนะชัย ดรุณจันทร์</v>
      </c>
      <c r="G450" s="1" t="s">
        <v>1835</v>
      </c>
      <c r="H450" s="1" t="s">
        <v>1836</v>
      </c>
      <c r="I450" s="1">
        <v>10617287</v>
      </c>
      <c r="J450" s="1" t="s">
        <v>45</v>
      </c>
      <c r="K450" s="1" t="s">
        <v>1142</v>
      </c>
      <c r="L450" s="1" t="s">
        <v>66</v>
      </c>
      <c r="M450" s="1" t="s">
        <v>48</v>
      </c>
      <c r="N450" s="1" t="s">
        <v>48</v>
      </c>
      <c r="O450" s="2">
        <v>45637</v>
      </c>
      <c r="P450" s="2">
        <v>45637</v>
      </c>
      <c r="Q450" s="1">
        <v>10405175</v>
      </c>
      <c r="R450" s="1" t="s">
        <v>1816</v>
      </c>
      <c r="S450" s="3" t="s">
        <v>1740</v>
      </c>
      <c r="T450" s="1" t="s">
        <v>52</v>
      </c>
      <c r="U450" s="1" t="s">
        <v>53</v>
      </c>
      <c r="V450" s="1" t="s">
        <v>54</v>
      </c>
      <c r="W450" s="1" t="s">
        <v>55</v>
      </c>
      <c r="X450" s="1">
        <v>1</v>
      </c>
      <c r="AA450" s="10"/>
      <c r="AB450" t="s">
        <v>1166</v>
      </c>
      <c r="AC450" s="32" t="s">
        <v>69</v>
      </c>
    </row>
    <row r="451" spans="1:40" ht="15" customHeight="1">
      <c r="A451">
        <v>60</v>
      </c>
      <c r="B451" s="1">
        <v>10407720</v>
      </c>
      <c r="C451" s="1" t="s">
        <v>39</v>
      </c>
      <c r="D451" s="1" t="s">
        <v>1837</v>
      </c>
      <c r="E451" s="1" t="s">
        <v>1838</v>
      </c>
      <c r="F451" s="1" t="str">
        <f>D451&amp;" "&amp;E451</f>
        <v>เจนิตา งานสันเทียะ</v>
      </c>
      <c r="G451" s="1" t="s">
        <v>1839</v>
      </c>
      <c r="H451" s="1" t="s">
        <v>1840</v>
      </c>
      <c r="I451" s="1" t="s">
        <v>1841</v>
      </c>
      <c r="J451" s="1" t="s">
        <v>45</v>
      </c>
      <c r="K451" s="2">
        <v>43839</v>
      </c>
      <c r="L451" s="1" t="s">
        <v>47</v>
      </c>
      <c r="M451" s="1" t="s">
        <v>48</v>
      </c>
      <c r="N451" s="1" t="s">
        <v>48</v>
      </c>
      <c r="O451" s="1" t="s">
        <v>1842</v>
      </c>
      <c r="P451" s="1" t="s">
        <v>1842</v>
      </c>
      <c r="Q451" s="1">
        <v>10382786</v>
      </c>
      <c r="R451" s="1" t="s">
        <v>1843</v>
      </c>
      <c r="S451" s="3" t="s">
        <v>1844</v>
      </c>
      <c r="T451" s="1" t="s">
        <v>52</v>
      </c>
      <c r="U451" s="1" t="s">
        <v>53</v>
      </c>
      <c r="V451" s="1" t="s">
        <v>54</v>
      </c>
      <c r="W451" s="1" t="s">
        <v>55</v>
      </c>
      <c r="X451" s="1">
        <v>1</v>
      </c>
      <c r="AA451" s="10"/>
      <c r="AB451" s="1" t="s">
        <v>1843</v>
      </c>
      <c r="AI451" s="24">
        <v>0.33333333333333331</v>
      </c>
      <c r="AJ451" s="24">
        <v>0.70833333333333337</v>
      </c>
    </row>
    <row r="452" spans="1:40" ht="15" customHeight="1">
      <c r="A452">
        <v>80</v>
      </c>
      <c r="B452" s="1">
        <v>10429711</v>
      </c>
      <c r="C452" s="1" t="s">
        <v>39</v>
      </c>
      <c r="D452" s="1" t="s">
        <v>1845</v>
      </c>
      <c r="E452" s="1" t="s">
        <v>695</v>
      </c>
      <c r="F452" s="1" t="str">
        <f>D452&amp;" "&amp;E452</f>
        <v>วรุณยพันธ์ ตั้งชัยวรรณา</v>
      </c>
      <c r="G452" s="1" t="s">
        <v>1846</v>
      </c>
      <c r="H452" s="1" t="s">
        <v>1847</v>
      </c>
      <c r="I452" s="1" t="s">
        <v>1848</v>
      </c>
      <c r="J452" s="1" t="s">
        <v>45</v>
      </c>
      <c r="K452" s="2">
        <v>44203</v>
      </c>
      <c r="L452" s="1" t="s">
        <v>47</v>
      </c>
      <c r="M452" s="1" t="s">
        <v>48</v>
      </c>
      <c r="N452" s="1" t="s">
        <v>48</v>
      </c>
      <c r="O452" s="1" t="s">
        <v>1528</v>
      </c>
      <c r="P452" s="1" t="s">
        <v>1528</v>
      </c>
      <c r="Q452" s="1">
        <v>10357340</v>
      </c>
      <c r="R452" s="1" t="s">
        <v>1849</v>
      </c>
      <c r="S452" s="3" t="s">
        <v>1844</v>
      </c>
      <c r="T452" s="1" t="s">
        <v>52</v>
      </c>
      <c r="U452" s="1" t="s">
        <v>53</v>
      </c>
      <c r="V452" s="1" t="s">
        <v>54</v>
      </c>
      <c r="W452" s="1" t="s">
        <v>55</v>
      </c>
      <c r="X452" s="1">
        <v>1</v>
      </c>
      <c r="AA452" s="10"/>
      <c r="AB452" s="1" t="s">
        <v>1849</v>
      </c>
      <c r="AI452" s="24">
        <v>0.33333333333333331</v>
      </c>
      <c r="AJ452" s="24">
        <v>0.70833333333333337</v>
      </c>
    </row>
    <row r="453" spans="1:40" ht="15" customHeight="1">
      <c r="A453">
        <v>41</v>
      </c>
      <c r="B453" s="1">
        <v>10375795</v>
      </c>
      <c r="C453" s="1" t="s">
        <v>60</v>
      </c>
      <c r="D453" s="1" t="s">
        <v>1850</v>
      </c>
      <c r="E453" s="1" t="s">
        <v>1168</v>
      </c>
      <c r="F453" s="1" t="str">
        <f>D453&amp;" "&amp;E453</f>
        <v>ปิยวรรณ ศรีสุข</v>
      </c>
      <c r="G453" s="1" t="s">
        <v>1851</v>
      </c>
      <c r="H453" s="1" t="s">
        <v>1170</v>
      </c>
      <c r="I453" s="1" t="s">
        <v>1852</v>
      </c>
      <c r="J453" s="1" t="s">
        <v>45</v>
      </c>
      <c r="K453" s="1" t="s">
        <v>1853</v>
      </c>
      <c r="L453" s="1" t="s">
        <v>47</v>
      </c>
      <c r="M453" s="1" t="s">
        <v>48</v>
      </c>
      <c r="N453" s="1" t="s">
        <v>48</v>
      </c>
      <c r="O453" s="1" t="s">
        <v>1854</v>
      </c>
      <c r="P453" s="1" t="s">
        <v>1854</v>
      </c>
      <c r="Q453" s="1">
        <v>10391040</v>
      </c>
      <c r="R453" s="10" t="s">
        <v>1855</v>
      </c>
      <c r="S453" s="3" t="s">
        <v>1844</v>
      </c>
      <c r="T453" s="1" t="s">
        <v>52</v>
      </c>
      <c r="U453" s="1" t="s">
        <v>53</v>
      </c>
      <c r="V453" s="1" t="s">
        <v>54</v>
      </c>
      <c r="W453" s="1" t="s">
        <v>55</v>
      </c>
      <c r="X453" s="1">
        <v>1</v>
      </c>
      <c r="AA453" s="10"/>
      <c r="AB453" s="10" t="s">
        <v>1855</v>
      </c>
      <c r="AI453" s="24">
        <v>0.33333333333333331</v>
      </c>
      <c r="AJ453" s="24">
        <v>0.70833333333333337</v>
      </c>
    </row>
    <row r="454" spans="1:40" ht="15" customHeight="1">
      <c r="A454">
        <v>1</v>
      </c>
      <c r="B454" s="1">
        <v>10029242</v>
      </c>
      <c r="C454" s="1" t="s">
        <v>92</v>
      </c>
      <c r="D454" s="1" t="s">
        <v>455</v>
      </c>
      <c r="E454" s="1" t="s">
        <v>1856</v>
      </c>
      <c r="F454" s="1" t="str">
        <f>D454&amp;" "&amp;E454</f>
        <v>ภัทรพงษ์ มงคล</v>
      </c>
      <c r="G454" s="1" t="s">
        <v>1857</v>
      </c>
      <c r="H454" s="1" t="s">
        <v>1858</v>
      </c>
      <c r="I454" s="1" t="s">
        <v>1859</v>
      </c>
      <c r="J454" s="1" t="s">
        <v>45</v>
      </c>
      <c r="K454" s="2">
        <v>38416</v>
      </c>
      <c r="L454" s="1" t="s">
        <v>47</v>
      </c>
      <c r="M454" s="1" t="s">
        <v>48</v>
      </c>
      <c r="N454" s="1" t="s">
        <v>48</v>
      </c>
      <c r="O454" s="1" t="s">
        <v>1860</v>
      </c>
      <c r="P454" s="1" t="s">
        <v>1860</v>
      </c>
      <c r="Q454" s="1">
        <v>10381588</v>
      </c>
      <c r="R454" s="1" t="s">
        <v>1861</v>
      </c>
      <c r="S454" s="3" t="s">
        <v>1844</v>
      </c>
      <c r="T454" s="1" t="s">
        <v>52</v>
      </c>
      <c r="U454" s="1" t="s">
        <v>53</v>
      </c>
      <c r="V454" s="1" t="s">
        <v>54</v>
      </c>
      <c r="W454" s="1" t="s">
        <v>55</v>
      </c>
      <c r="X454" s="1">
        <v>1</v>
      </c>
      <c r="AA454" s="10"/>
      <c r="AB454" s="10" t="s">
        <v>381</v>
      </c>
      <c r="AF454" s="43" t="s">
        <v>381</v>
      </c>
    </row>
    <row r="455" spans="1:40" ht="15" customHeight="1">
      <c r="A455">
        <v>180</v>
      </c>
      <c r="B455" s="1">
        <v>10606785</v>
      </c>
      <c r="C455" s="1" t="s">
        <v>39</v>
      </c>
      <c r="D455" s="1" t="s">
        <v>1862</v>
      </c>
      <c r="E455" s="1" t="s">
        <v>1863</v>
      </c>
      <c r="F455" s="1" t="str">
        <f>D455&amp;" "&amp;E455</f>
        <v>รสิตา ศรีกงพาน</v>
      </c>
      <c r="G455" s="1" t="s">
        <v>1864</v>
      </c>
      <c r="H455" s="1" t="s">
        <v>1865</v>
      </c>
      <c r="I455" s="1">
        <v>10606785</v>
      </c>
      <c r="J455" s="1" t="s">
        <v>45</v>
      </c>
      <c r="K455" s="2">
        <v>45327</v>
      </c>
      <c r="L455" s="1" t="s">
        <v>66</v>
      </c>
      <c r="M455" s="1" t="s">
        <v>48</v>
      </c>
      <c r="N455" s="1" t="s">
        <v>48</v>
      </c>
      <c r="O455" s="1" t="s">
        <v>232</v>
      </c>
      <c r="P455" s="1" t="s">
        <v>232</v>
      </c>
      <c r="Q455" s="1">
        <v>10358600</v>
      </c>
      <c r="R455" s="1" t="s">
        <v>1866</v>
      </c>
      <c r="S455" s="3" t="s">
        <v>1844</v>
      </c>
      <c r="T455" s="1" t="s">
        <v>52</v>
      </c>
      <c r="U455" s="1" t="s">
        <v>53</v>
      </c>
      <c r="V455" s="1" t="s">
        <v>54</v>
      </c>
      <c r="W455" s="1" t="s">
        <v>55</v>
      </c>
      <c r="X455" s="1">
        <v>1</v>
      </c>
      <c r="AA455" s="10"/>
      <c r="AB455" s="1" t="s">
        <v>1866</v>
      </c>
      <c r="AI455" s="24">
        <v>0.33333333333333331</v>
      </c>
      <c r="AJ455" s="24">
        <v>0.70833333333333337</v>
      </c>
    </row>
    <row r="456" spans="1:40" ht="15" customHeight="1">
      <c r="D456" s="10" t="s">
        <v>1867</v>
      </c>
      <c r="E456" t="s">
        <v>906</v>
      </c>
      <c r="F456" t="str">
        <f>D456&amp;" "&amp;E456</f>
        <v>อนุเดช สองใหม่</v>
      </c>
      <c r="AB456" s="10" t="s">
        <v>831</v>
      </c>
      <c r="AC456" s="33" t="s">
        <v>102</v>
      </c>
      <c r="AF456" s="10" t="s">
        <v>77</v>
      </c>
    </row>
    <row r="457" spans="1:40" ht="15" customHeight="1">
      <c r="D457" s="10" t="s">
        <v>1868</v>
      </c>
      <c r="E457" t="s">
        <v>282</v>
      </c>
      <c r="F457" t="str">
        <f>D457&amp;" "&amp;E457</f>
        <v>ศิริลักษ์ เนตรสว่าง</v>
      </c>
      <c r="AB457" s="10" t="s">
        <v>745</v>
      </c>
      <c r="AC457" s="33" t="s">
        <v>102</v>
      </c>
      <c r="AF457" s="10" t="s">
        <v>77</v>
      </c>
    </row>
    <row r="458" spans="1:40" ht="15" customHeight="1">
      <c r="D458" s="10" t="s">
        <v>1869</v>
      </c>
      <c r="E458" t="s">
        <v>1870</v>
      </c>
      <c r="F458" t="str">
        <f>D458&amp;" "&amp;E458</f>
        <v>ปริยาพร หอมหวาน</v>
      </c>
      <c r="AB458" t="s">
        <v>1811</v>
      </c>
      <c r="AC458" t="s">
        <v>58</v>
      </c>
      <c r="AF458" t="s">
        <v>59</v>
      </c>
      <c r="AI458" s="24">
        <v>0.33333333333333331</v>
      </c>
      <c r="AJ458" s="24">
        <v>0.70833333333333337</v>
      </c>
      <c r="AK458" s="24">
        <v>0.83333333333333337</v>
      </c>
    </row>
    <row r="459" spans="1:40" ht="15" customHeight="1">
      <c r="D459" s="10" t="s">
        <v>1871</v>
      </c>
      <c r="E459" t="s">
        <v>1872</v>
      </c>
      <c r="F459" t="str">
        <f>D459&amp;" "&amp;E459</f>
        <v>จุฑามาศ จันทร์กระจ่าง</v>
      </c>
      <c r="AB459" t="s">
        <v>1811</v>
      </c>
      <c r="AC459" s="33" t="s">
        <v>69</v>
      </c>
      <c r="AF459" s="10" t="s">
        <v>77</v>
      </c>
      <c r="AL459" s="24">
        <v>0.83333333333333337</v>
      </c>
      <c r="AM459" s="24">
        <v>0.20833333333333334</v>
      </c>
      <c r="AN459" s="24">
        <v>0.33333333333333331</v>
      </c>
    </row>
    <row r="469" spans="37:37" ht="15" customHeight="1">
      <c r="AK469"/>
    </row>
  </sheetData>
  <autoFilter ref="A2:AP459" xr:uid="{00000000-0001-0000-0000-000000000000}">
    <sortState xmlns:xlrd2="http://schemas.microsoft.com/office/spreadsheetml/2017/richdata2" ref="A3:AP459">
      <sortCondition ref="S2:S459"/>
    </sortState>
  </autoFilter>
  <phoneticPr fontId="11" type="noConversion"/>
  <conditionalFormatting sqref="B1:B1048576">
    <cfRule type="duplicateValues" dxfId="0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9944-E1BE-444F-8EB1-F34E526757E1}">
  <dimension ref="B2:C4"/>
  <sheetViews>
    <sheetView workbookViewId="0">
      <selection activeCell="H18" sqref="H18"/>
    </sheetView>
  </sheetViews>
  <sheetFormatPr defaultRowHeight="14.45"/>
  <cols>
    <col min="2" max="2" width="30.42578125" bestFit="1" customWidth="1"/>
  </cols>
  <sheetData>
    <row r="2" spans="2:3">
      <c r="B2" t="s">
        <v>1873</v>
      </c>
      <c r="C2" t="s">
        <v>1874</v>
      </c>
    </row>
    <row r="4" spans="2:3">
      <c r="B4" t="s">
        <v>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13CB-D2C3-4D5A-9F56-EDFFE1F83364}">
  <dimension ref="A1:E324"/>
  <sheetViews>
    <sheetView topLeftCell="A7" workbookViewId="0">
      <selection activeCell="G16" sqref="G16"/>
    </sheetView>
  </sheetViews>
  <sheetFormatPr defaultRowHeight="14.45"/>
  <cols>
    <col min="1" max="1" width="9" customWidth="1"/>
    <col min="2" max="2" width="19.7109375" bestFit="1" customWidth="1"/>
    <col min="3" max="3" width="22.42578125" customWidth="1"/>
    <col min="4" max="4" width="5" bestFit="1" customWidth="1"/>
    <col min="5" max="5" width="6.85546875" bestFit="1" customWidth="1"/>
  </cols>
  <sheetData>
    <row r="1" spans="1:5" ht="15" thickBot="1">
      <c r="A1" s="11" t="s">
        <v>1876</v>
      </c>
      <c r="B1" s="11" t="s">
        <v>1877</v>
      </c>
      <c r="C1" s="11" t="s">
        <v>1878</v>
      </c>
      <c r="D1" s="11" t="s">
        <v>1879</v>
      </c>
      <c r="E1" s="11" t="s">
        <v>1880</v>
      </c>
    </row>
    <row r="2" spans="1:5" ht="15" thickBot="1">
      <c r="A2" s="12">
        <v>10029242</v>
      </c>
      <c r="B2" s="20" t="s">
        <v>1881</v>
      </c>
      <c r="C2" s="20" t="s">
        <v>1882</v>
      </c>
      <c r="D2" s="12">
        <v>3</v>
      </c>
      <c r="E2" s="13">
        <v>1</v>
      </c>
    </row>
    <row r="3" spans="1:5" ht="15" thickBot="1">
      <c r="A3" s="12">
        <v>10039734</v>
      </c>
      <c r="B3" s="20" t="s">
        <v>1883</v>
      </c>
      <c r="C3" s="20" t="s">
        <v>1882</v>
      </c>
      <c r="D3" s="12">
        <v>3</v>
      </c>
      <c r="E3" s="13">
        <v>1</v>
      </c>
    </row>
    <row r="4" spans="1:5" ht="15" thickBot="1">
      <c r="A4" s="12">
        <v>10150255</v>
      </c>
      <c r="B4" s="20" t="s">
        <v>1884</v>
      </c>
      <c r="C4" s="20" t="s">
        <v>1882</v>
      </c>
      <c r="D4" s="12">
        <v>3</v>
      </c>
      <c r="E4" s="13">
        <v>1</v>
      </c>
    </row>
    <row r="5" spans="1:5" ht="15" thickBot="1">
      <c r="A5" s="12">
        <v>10169542</v>
      </c>
      <c r="B5" s="20" t="s">
        <v>1885</v>
      </c>
      <c r="C5" s="20" t="s">
        <v>1674</v>
      </c>
      <c r="D5" s="12">
        <v>3</v>
      </c>
      <c r="E5" s="12">
        <v>1</v>
      </c>
    </row>
    <row r="6" spans="1:5" ht="15" thickBot="1">
      <c r="A6" s="12">
        <v>10249292</v>
      </c>
      <c r="B6" s="20" t="s">
        <v>1886</v>
      </c>
      <c r="C6" s="20" t="s">
        <v>831</v>
      </c>
      <c r="D6" s="12">
        <v>3</v>
      </c>
      <c r="E6" s="12">
        <v>1</v>
      </c>
    </row>
    <row r="7" spans="1:5" ht="15" thickBot="1">
      <c r="A7" s="12">
        <v>10251629</v>
      </c>
      <c r="B7" s="20" t="s">
        <v>1887</v>
      </c>
      <c r="C7" s="20" t="s">
        <v>1888</v>
      </c>
      <c r="D7" s="12">
        <v>3</v>
      </c>
      <c r="E7" s="12">
        <v>1</v>
      </c>
    </row>
    <row r="8" spans="1:5" ht="15" thickBot="1">
      <c r="A8" s="12">
        <v>10251629</v>
      </c>
      <c r="B8" s="20" t="s">
        <v>1887</v>
      </c>
      <c r="C8" s="20" t="s">
        <v>1889</v>
      </c>
      <c r="D8" s="12">
        <v>3</v>
      </c>
      <c r="E8" s="13">
        <v>1</v>
      </c>
    </row>
    <row r="9" spans="1:5" ht="15" thickBot="1">
      <c r="A9" s="12">
        <v>10290692</v>
      </c>
      <c r="B9" s="20" t="s">
        <v>1890</v>
      </c>
      <c r="C9" s="21" t="s">
        <v>934</v>
      </c>
      <c r="D9" s="12">
        <v>3</v>
      </c>
      <c r="E9" s="13">
        <v>1</v>
      </c>
    </row>
    <row r="10" spans="1:5" ht="15" thickBot="1">
      <c r="A10" s="12">
        <v>10291674</v>
      </c>
      <c r="B10" s="20" t="s">
        <v>1891</v>
      </c>
      <c r="C10" s="20" t="s">
        <v>1892</v>
      </c>
      <c r="D10" s="12">
        <v>3</v>
      </c>
      <c r="E10" s="12">
        <v>1</v>
      </c>
    </row>
    <row r="11" spans="1:5" ht="15" thickBot="1">
      <c r="A11" s="12">
        <v>10296449</v>
      </c>
      <c r="B11" s="20" t="s">
        <v>1893</v>
      </c>
      <c r="C11" s="21" t="s">
        <v>1113</v>
      </c>
      <c r="D11" s="13">
        <v>3</v>
      </c>
      <c r="E11" s="14">
        <v>1</v>
      </c>
    </row>
    <row r="12" spans="1:5" ht="15" thickBot="1">
      <c r="A12" s="12">
        <v>10303959</v>
      </c>
      <c r="B12" s="20" t="s">
        <v>1894</v>
      </c>
      <c r="C12" s="20" t="s">
        <v>1888</v>
      </c>
      <c r="D12" s="12">
        <v>3</v>
      </c>
      <c r="E12" s="12">
        <v>1</v>
      </c>
    </row>
    <row r="13" spans="1:5" ht="15" thickBot="1">
      <c r="A13" s="12">
        <v>10320337</v>
      </c>
      <c r="B13" s="20" t="s">
        <v>1895</v>
      </c>
      <c r="C13" s="20" t="s">
        <v>1368</v>
      </c>
      <c r="D13" s="12">
        <v>3</v>
      </c>
      <c r="E13" s="12">
        <v>1</v>
      </c>
    </row>
    <row r="14" spans="1:5" ht="15" thickBot="1">
      <c r="A14" s="12">
        <v>10328607</v>
      </c>
      <c r="B14" s="20" t="s">
        <v>1896</v>
      </c>
      <c r="C14" s="20" t="s">
        <v>610</v>
      </c>
      <c r="D14" s="12">
        <v>3</v>
      </c>
      <c r="E14" s="12">
        <v>1</v>
      </c>
    </row>
    <row r="15" spans="1:5" ht="15" thickBot="1">
      <c r="A15" s="12">
        <v>10341299</v>
      </c>
      <c r="B15" s="20" t="s">
        <v>1897</v>
      </c>
      <c r="C15" s="20" t="s">
        <v>1888</v>
      </c>
      <c r="D15" s="12">
        <v>3</v>
      </c>
      <c r="E15" s="12">
        <v>1</v>
      </c>
    </row>
    <row r="16" spans="1:5" ht="15" thickBot="1">
      <c r="A16" s="12">
        <v>10343714</v>
      </c>
      <c r="B16" s="20" t="s">
        <v>1898</v>
      </c>
      <c r="C16" s="21" t="s">
        <v>1448</v>
      </c>
      <c r="D16" s="12">
        <v>3</v>
      </c>
      <c r="E16" s="13">
        <v>1</v>
      </c>
    </row>
    <row r="17" spans="1:5" ht="15" thickBot="1">
      <c r="A17" s="12">
        <v>10343714</v>
      </c>
      <c r="B17" s="20" t="s">
        <v>1898</v>
      </c>
      <c r="C17" s="21" t="s">
        <v>1195</v>
      </c>
      <c r="D17" s="12">
        <v>3</v>
      </c>
      <c r="E17" s="12">
        <v>1</v>
      </c>
    </row>
    <row r="18" spans="1:5" ht="15" thickBot="1">
      <c r="A18" s="12">
        <v>10344672</v>
      </c>
      <c r="B18" s="20" t="s">
        <v>1899</v>
      </c>
      <c r="C18" s="20" t="s">
        <v>1900</v>
      </c>
      <c r="D18" s="12">
        <v>3</v>
      </c>
      <c r="E18" s="13">
        <v>1</v>
      </c>
    </row>
    <row r="19" spans="1:5" ht="15" thickBot="1">
      <c r="A19" s="12">
        <v>10344672</v>
      </c>
      <c r="B19" s="20" t="s">
        <v>1899</v>
      </c>
      <c r="C19" s="20" t="s">
        <v>1901</v>
      </c>
      <c r="D19" s="12">
        <v>3</v>
      </c>
      <c r="E19" s="13">
        <v>1</v>
      </c>
    </row>
    <row r="20" spans="1:5" ht="15" thickBot="1">
      <c r="A20" s="12">
        <v>10345735</v>
      </c>
      <c r="B20" s="20" t="s">
        <v>1902</v>
      </c>
      <c r="C20" s="20" t="s">
        <v>1903</v>
      </c>
      <c r="D20" s="12">
        <v>3</v>
      </c>
      <c r="E20" s="12">
        <v>1</v>
      </c>
    </row>
    <row r="21" spans="1:5" ht="15" thickBot="1">
      <c r="A21" s="12">
        <v>10345846</v>
      </c>
      <c r="B21" s="20" t="s">
        <v>1904</v>
      </c>
      <c r="C21" s="20" t="s">
        <v>1905</v>
      </c>
      <c r="D21" s="12">
        <v>3</v>
      </c>
      <c r="E21" s="12">
        <v>1</v>
      </c>
    </row>
    <row r="22" spans="1:5" ht="15" thickBot="1">
      <c r="A22" s="12">
        <v>10356028</v>
      </c>
      <c r="B22" s="20" t="s">
        <v>1906</v>
      </c>
      <c r="C22" s="21" t="s">
        <v>1113</v>
      </c>
      <c r="D22" s="13">
        <v>3</v>
      </c>
      <c r="E22" s="14">
        <v>1</v>
      </c>
    </row>
    <row r="23" spans="1:5" ht="15" thickBot="1">
      <c r="A23" s="12">
        <v>10357224</v>
      </c>
      <c r="B23" s="20" t="s">
        <v>1907</v>
      </c>
      <c r="C23" s="21" t="s">
        <v>934</v>
      </c>
      <c r="D23" s="12">
        <v>3</v>
      </c>
      <c r="E23" s="13">
        <v>1</v>
      </c>
    </row>
    <row r="24" spans="1:5" ht="15" thickBot="1">
      <c r="A24" s="12">
        <v>10361541</v>
      </c>
      <c r="B24" s="20" t="s">
        <v>1908</v>
      </c>
      <c r="C24" s="20" t="s">
        <v>1888</v>
      </c>
      <c r="D24" s="12">
        <v>3</v>
      </c>
      <c r="E24" s="12">
        <v>1</v>
      </c>
    </row>
    <row r="25" spans="1:5" ht="15" thickBot="1">
      <c r="A25" s="12">
        <v>10363493</v>
      </c>
      <c r="B25" s="20" t="s">
        <v>1909</v>
      </c>
      <c r="C25" s="20" t="s">
        <v>1674</v>
      </c>
      <c r="D25" s="12">
        <v>3</v>
      </c>
      <c r="E25" s="12">
        <v>1</v>
      </c>
    </row>
    <row r="26" spans="1:5" ht="15" thickBot="1">
      <c r="A26" s="12">
        <v>10366440</v>
      </c>
      <c r="B26" s="20" t="s">
        <v>1910</v>
      </c>
      <c r="C26" s="20" t="s">
        <v>1888</v>
      </c>
      <c r="D26" s="12">
        <v>3</v>
      </c>
      <c r="E26" s="12">
        <v>1</v>
      </c>
    </row>
    <row r="27" spans="1:5" ht="15" thickBot="1">
      <c r="A27" s="12">
        <v>10366464</v>
      </c>
      <c r="B27" s="20" t="s">
        <v>1911</v>
      </c>
      <c r="C27" s="20" t="s">
        <v>1633</v>
      </c>
      <c r="D27" s="12">
        <v>3</v>
      </c>
      <c r="E27" s="12">
        <v>1</v>
      </c>
    </row>
    <row r="28" spans="1:5" ht="15" thickBot="1">
      <c r="A28" s="12">
        <v>10372085</v>
      </c>
      <c r="B28" s="20" t="s">
        <v>1912</v>
      </c>
      <c r="C28" s="20" t="s">
        <v>831</v>
      </c>
      <c r="D28" s="12">
        <v>3</v>
      </c>
      <c r="E28" s="12">
        <v>1</v>
      </c>
    </row>
    <row r="29" spans="1:5" ht="15" thickBot="1">
      <c r="A29" s="12">
        <v>10375795</v>
      </c>
      <c r="B29" s="20" t="s">
        <v>1913</v>
      </c>
      <c r="C29" s="20" t="s">
        <v>1882</v>
      </c>
      <c r="D29" s="12">
        <v>3</v>
      </c>
      <c r="E29" s="12">
        <v>1</v>
      </c>
    </row>
    <row r="30" spans="1:5" ht="15" thickBot="1">
      <c r="A30" s="12">
        <v>10384217</v>
      </c>
      <c r="B30" s="20" t="s">
        <v>1914</v>
      </c>
      <c r="C30" s="21" t="s">
        <v>1075</v>
      </c>
      <c r="D30" s="13">
        <v>3</v>
      </c>
      <c r="E30" s="14">
        <v>1</v>
      </c>
    </row>
    <row r="31" spans="1:5" ht="15" thickBot="1">
      <c r="A31" s="12">
        <v>10388050</v>
      </c>
      <c r="B31" s="20" t="s">
        <v>1915</v>
      </c>
      <c r="C31" s="20" t="s">
        <v>1916</v>
      </c>
      <c r="D31" s="12">
        <v>3</v>
      </c>
      <c r="E31" s="12">
        <v>1</v>
      </c>
    </row>
    <row r="32" spans="1:5" ht="15" thickBot="1">
      <c r="A32" s="12">
        <v>10390514</v>
      </c>
      <c r="B32" s="20" t="s">
        <v>1917</v>
      </c>
      <c r="C32" s="20" t="s">
        <v>1918</v>
      </c>
      <c r="D32" s="12">
        <v>3</v>
      </c>
      <c r="E32" s="12">
        <v>1</v>
      </c>
    </row>
    <row r="33" spans="1:5" ht="15" thickBot="1">
      <c r="A33" s="12">
        <v>10392237</v>
      </c>
      <c r="B33" s="20" t="s">
        <v>1919</v>
      </c>
      <c r="C33" s="20" t="s">
        <v>1920</v>
      </c>
      <c r="D33" s="12">
        <v>3</v>
      </c>
      <c r="E33" s="12">
        <v>1</v>
      </c>
    </row>
    <row r="34" spans="1:5" ht="15" thickBot="1">
      <c r="A34" s="12">
        <v>10393693</v>
      </c>
      <c r="B34" s="20" t="s">
        <v>1921</v>
      </c>
      <c r="C34" s="20" t="s">
        <v>1888</v>
      </c>
      <c r="D34" s="12">
        <v>3</v>
      </c>
      <c r="E34" s="12">
        <v>1</v>
      </c>
    </row>
    <row r="35" spans="1:5" ht="15" thickBot="1">
      <c r="A35" s="12">
        <v>10396436</v>
      </c>
      <c r="B35" s="20" t="s">
        <v>1922</v>
      </c>
      <c r="C35" s="20" t="s">
        <v>1900</v>
      </c>
      <c r="D35" s="12">
        <v>3</v>
      </c>
      <c r="E35" s="13">
        <v>1</v>
      </c>
    </row>
    <row r="36" spans="1:5" ht="15" thickBot="1">
      <c r="A36" s="12">
        <v>10396436</v>
      </c>
      <c r="B36" s="20" t="s">
        <v>1922</v>
      </c>
      <c r="C36" s="20" t="s">
        <v>1901</v>
      </c>
      <c r="D36" s="12">
        <v>3</v>
      </c>
      <c r="E36" s="13">
        <v>1</v>
      </c>
    </row>
    <row r="37" spans="1:5" ht="15" thickBot="1">
      <c r="A37" s="12">
        <v>10396639</v>
      </c>
      <c r="B37" s="20" t="s">
        <v>1923</v>
      </c>
      <c r="C37" s="20" t="s">
        <v>1888</v>
      </c>
      <c r="D37" s="12">
        <v>3</v>
      </c>
      <c r="E37" s="12">
        <v>1</v>
      </c>
    </row>
    <row r="38" spans="1:5" ht="15" thickBot="1">
      <c r="A38" s="12">
        <v>10400670</v>
      </c>
      <c r="B38" s="20" t="s">
        <v>1924</v>
      </c>
      <c r="C38" s="20" t="s">
        <v>1888</v>
      </c>
      <c r="D38" s="12">
        <v>3</v>
      </c>
      <c r="E38" s="12">
        <v>1</v>
      </c>
    </row>
    <row r="39" spans="1:5" ht="15" thickBot="1">
      <c r="A39" s="12">
        <v>10400672</v>
      </c>
      <c r="B39" s="20" t="s">
        <v>1925</v>
      </c>
      <c r="C39" s="20" t="s">
        <v>1888</v>
      </c>
      <c r="D39" s="12">
        <v>3</v>
      </c>
      <c r="E39" s="12">
        <v>1</v>
      </c>
    </row>
    <row r="40" spans="1:5" ht="15" thickBot="1">
      <c r="A40" s="12">
        <v>10400674</v>
      </c>
      <c r="B40" s="20" t="s">
        <v>1926</v>
      </c>
      <c r="C40" s="20" t="s">
        <v>1888</v>
      </c>
      <c r="D40" s="12">
        <v>3</v>
      </c>
      <c r="E40" s="12">
        <v>1</v>
      </c>
    </row>
    <row r="41" spans="1:5" ht="15" thickBot="1">
      <c r="A41" s="12">
        <v>10407375</v>
      </c>
      <c r="B41" s="20" t="s">
        <v>1927</v>
      </c>
      <c r="C41" s="20" t="s">
        <v>610</v>
      </c>
      <c r="D41" s="12">
        <v>3</v>
      </c>
      <c r="E41" s="12">
        <v>1</v>
      </c>
    </row>
    <row r="42" spans="1:5" ht="15" thickBot="1">
      <c r="A42" s="12">
        <v>10410604</v>
      </c>
      <c r="B42" s="20" t="s">
        <v>1928</v>
      </c>
      <c r="C42" s="21" t="s">
        <v>934</v>
      </c>
      <c r="D42" s="12">
        <v>3</v>
      </c>
      <c r="E42" s="13">
        <v>1</v>
      </c>
    </row>
    <row r="43" spans="1:5" ht="15" thickBot="1">
      <c r="A43" s="12">
        <v>10412311</v>
      </c>
      <c r="B43" s="20" t="s">
        <v>1929</v>
      </c>
      <c r="C43" s="20" t="s">
        <v>1368</v>
      </c>
      <c r="D43" s="12">
        <v>3</v>
      </c>
      <c r="E43" s="12">
        <v>1</v>
      </c>
    </row>
    <row r="44" spans="1:5" ht="15" thickBot="1">
      <c r="A44" s="12">
        <v>10412343</v>
      </c>
      <c r="B44" s="20" t="s">
        <v>1930</v>
      </c>
      <c r="C44" s="20" t="s">
        <v>1888</v>
      </c>
      <c r="D44" s="12">
        <v>3</v>
      </c>
      <c r="E44" s="12">
        <v>1</v>
      </c>
    </row>
    <row r="45" spans="1:5" ht="15" thickBot="1">
      <c r="A45" s="12">
        <v>10415060</v>
      </c>
      <c r="B45" s="20" t="s">
        <v>1931</v>
      </c>
      <c r="C45" s="20" t="s">
        <v>1916</v>
      </c>
      <c r="D45" s="12">
        <v>3</v>
      </c>
      <c r="E45" s="12">
        <v>1</v>
      </c>
    </row>
    <row r="46" spans="1:5" ht="15" thickBot="1">
      <c r="A46" s="12">
        <v>10416370</v>
      </c>
      <c r="B46" s="20" t="s">
        <v>1932</v>
      </c>
      <c r="C46" s="20" t="s">
        <v>1889</v>
      </c>
      <c r="D46" s="12">
        <v>3</v>
      </c>
      <c r="E46" s="13">
        <v>1</v>
      </c>
    </row>
    <row r="47" spans="1:5" ht="15" thickBot="1">
      <c r="A47" s="12">
        <v>10416379</v>
      </c>
      <c r="B47" s="20" t="s">
        <v>1933</v>
      </c>
      <c r="C47" s="21" t="s">
        <v>1113</v>
      </c>
      <c r="D47" s="13">
        <v>3</v>
      </c>
      <c r="E47" s="14">
        <v>1</v>
      </c>
    </row>
    <row r="48" spans="1:5" ht="15" thickBot="1">
      <c r="A48" s="12">
        <v>10416390</v>
      </c>
      <c r="B48" s="20" t="s">
        <v>1934</v>
      </c>
      <c r="C48" s="20" t="s">
        <v>831</v>
      </c>
      <c r="D48" s="12">
        <v>3</v>
      </c>
      <c r="E48" s="12">
        <v>1</v>
      </c>
    </row>
    <row r="49" spans="1:5" ht="15" thickBot="1">
      <c r="A49" s="12">
        <v>10416390</v>
      </c>
      <c r="B49" s="20" t="s">
        <v>1934</v>
      </c>
      <c r="C49" s="20" t="s">
        <v>605</v>
      </c>
      <c r="D49" s="12">
        <v>3</v>
      </c>
      <c r="E49" s="13">
        <v>1</v>
      </c>
    </row>
    <row r="50" spans="1:5" ht="15" thickBot="1">
      <c r="A50" s="12">
        <v>10417544</v>
      </c>
      <c r="B50" s="20" t="s">
        <v>1935</v>
      </c>
      <c r="C50" s="20" t="s">
        <v>1905</v>
      </c>
      <c r="D50" s="12">
        <v>3</v>
      </c>
      <c r="E50" s="12">
        <v>1</v>
      </c>
    </row>
    <row r="51" spans="1:5" ht="15" thickBot="1">
      <c r="A51" s="12">
        <v>10419529</v>
      </c>
      <c r="B51" s="20" t="s">
        <v>1936</v>
      </c>
      <c r="C51" s="20" t="s">
        <v>1937</v>
      </c>
      <c r="D51" s="12">
        <v>3</v>
      </c>
      <c r="E51" s="12">
        <v>1</v>
      </c>
    </row>
    <row r="52" spans="1:5" ht="15" thickBot="1">
      <c r="A52" s="12">
        <v>10419548</v>
      </c>
      <c r="B52" s="20" t="s">
        <v>1938</v>
      </c>
      <c r="C52" s="20" t="s">
        <v>1888</v>
      </c>
      <c r="D52" s="12">
        <v>3</v>
      </c>
      <c r="E52" s="12">
        <v>1</v>
      </c>
    </row>
    <row r="53" spans="1:5" ht="15" thickBot="1">
      <c r="A53" s="12">
        <v>10419548</v>
      </c>
      <c r="B53" s="20" t="s">
        <v>1938</v>
      </c>
      <c r="C53" s="20" t="s">
        <v>1889</v>
      </c>
      <c r="D53" s="12">
        <v>3</v>
      </c>
      <c r="E53" s="13">
        <v>1</v>
      </c>
    </row>
    <row r="54" spans="1:5" ht="15" thickBot="1">
      <c r="A54" s="12">
        <v>10423174</v>
      </c>
      <c r="B54" s="20" t="s">
        <v>1939</v>
      </c>
      <c r="C54" s="21" t="s">
        <v>1075</v>
      </c>
      <c r="D54" s="13">
        <v>3</v>
      </c>
      <c r="E54" s="14">
        <v>1</v>
      </c>
    </row>
    <row r="55" spans="1:5" ht="15" thickBot="1">
      <c r="A55" s="12">
        <v>10425241</v>
      </c>
      <c r="B55" s="20" t="s">
        <v>1940</v>
      </c>
      <c r="C55" s="21" t="s">
        <v>1448</v>
      </c>
      <c r="D55" s="12">
        <v>3</v>
      </c>
      <c r="E55" s="12">
        <v>1</v>
      </c>
    </row>
    <row r="56" spans="1:5" ht="15" thickBot="1">
      <c r="A56" s="12">
        <v>10427898</v>
      </c>
      <c r="B56" s="20" t="s">
        <v>1941</v>
      </c>
      <c r="C56" s="20" t="s">
        <v>1905</v>
      </c>
      <c r="D56" s="12">
        <v>3</v>
      </c>
      <c r="E56" s="12">
        <v>1</v>
      </c>
    </row>
    <row r="57" spans="1:5" ht="15" thickBot="1">
      <c r="A57" s="12">
        <v>10429682</v>
      </c>
      <c r="B57" s="20" t="s">
        <v>1942</v>
      </c>
      <c r="C57" s="21" t="s">
        <v>1195</v>
      </c>
      <c r="D57" s="12">
        <v>3</v>
      </c>
      <c r="E57" s="12">
        <v>1</v>
      </c>
    </row>
    <row r="58" spans="1:5" ht="15" thickBot="1">
      <c r="A58" s="12">
        <v>10430354</v>
      </c>
      <c r="B58" s="20" t="s">
        <v>1943</v>
      </c>
      <c r="C58" s="21" t="s">
        <v>1195</v>
      </c>
      <c r="D58" s="12">
        <v>3</v>
      </c>
      <c r="E58" s="12">
        <v>1</v>
      </c>
    </row>
    <row r="59" spans="1:5" ht="15" thickBot="1">
      <c r="A59" s="12">
        <v>10430406</v>
      </c>
      <c r="B59" s="20" t="s">
        <v>1944</v>
      </c>
      <c r="C59" s="20" t="s">
        <v>745</v>
      </c>
      <c r="D59" s="12">
        <v>3</v>
      </c>
      <c r="E59" s="12">
        <v>1</v>
      </c>
    </row>
    <row r="60" spans="1:5" ht="15" thickBot="1">
      <c r="A60" s="12">
        <v>10432003</v>
      </c>
      <c r="B60" s="20" t="s">
        <v>1945</v>
      </c>
      <c r="C60" s="20" t="s">
        <v>1888</v>
      </c>
      <c r="D60" s="12">
        <v>3</v>
      </c>
      <c r="E60" s="12">
        <v>1</v>
      </c>
    </row>
    <row r="61" spans="1:5" ht="15" thickBot="1">
      <c r="A61" s="12">
        <v>10433259</v>
      </c>
      <c r="B61" s="20" t="s">
        <v>1946</v>
      </c>
      <c r="C61" s="21" t="s">
        <v>1448</v>
      </c>
      <c r="D61" s="12">
        <v>3</v>
      </c>
      <c r="E61" s="12">
        <v>1</v>
      </c>
    </row>
    <row r="62" spans="1:5" ht="15" thickBot="1">
      <c r="A62" s="12">
        <v>10500467</v>
      </c>
      <c r="B62" s="20" t="s">
        <v>1947</v>
      </c>
      <c r="C62" s="21" t="s">
        <v>934</v>
      </c>
      <c r="D62" s="12">
        <v>3</v>
      </c>
      <c r="E62" s="13">
        <v>1</v>
      </c>
    </row>
    <row r="63" spans="1:5" ht="15" thickBot="1">
      <c r="A63" s="12">
        <v>10500484</v>
      </c>
      <c r="B63" s="20" t="s">
        <v>1948</v>
      </c>
      <c r="C63" s="20" t="s">
        <v>1888</v>
      </c>
      <c r="D63" s="12">
        <v>3</v>
      </c>
      <c r="E63" s="12">
        <v>1</v>
      </c>
    </row>
    <row r="64" spans="1:5" ht="15" thickBot="1">
      <c r="A64" s="12">
        <v>10501461</v>
      </c>
      <c r="B64" s="20" t="s">
        <v>1949</v>
      </c>
      <c r="C64" s="21" t="s">
        <v>1448</v>
      </c>
      <c r="D64" s="12">
        <v>3</v>
      </c>
      <c r="E64" s="13">
        <v>1</v>
      </c>
    </row>
    <row r="65" spans="1:5" ht="15" thickBot="1">
      <c r="A65" s="12">
        <v>10501486</v>
      </c>
      <c r="B65" s="20" t="s">
        <v>1950</v>
      </c>
      <c r="C65" s="20" t="s">
        <v>1888</v>
      </c>
      <c r="D65" s="12">
        <v>3</v>
      </c>
      <c r="E65" s="12">
        <v>1</v>
      </c>
    </row>
    <row r="66" spans="1:5" ht="15" thickBot="1">
      <c r="A66" s="12">
        <v>10503739</v>
      </c>
      <c r="B66" s="20" t="s">
        <v>1951</v>
      </c>
      <c r="C66" s="21" t="s">
        <v>1448</v>
      </c>
      <c r="D66" s="12">
        <v>3</v>
      </c>
      <c r="E66" s="13">
        <v>1</v>
      </c>
    </row>
    <row r="67" spans="1:5" ht="15" thickBot="1">
      <c r="A67" s="12">
        <v>10506475</v>
      </c>
      <c r="B67" s="20" t="s">
        <v>1952</v>
      </c>
      <c r="C67" s="21" t="s">
        <v>1200</v>
      </c>
      <c r="D67" s="13">
        <v>3</v>
      </c>
      <c r="E67" s="14">
        <v>1</v>
      </c>
    </row>
    <row r="68" spans="1:5" ht="15" thickBot="1">
      <c r="A68" s="12">
        <v>10506518</v>
      </c>
      <c r="B68" s="20" t="s">
        <v>1953</v>
      </c>
      <c r="C68" s="20" t="s">
        <v>1892</v>
      </c>
      <c r="D68" s="12">
        <v>3</v>
      </c>
      <c r="E68" s="12">
        <v>1</v>
      </c>
    </row>
    <row r="69" spans="1:5" ht="15" thickBot="1">
      <c r="A69" s="12">
        <v>10506547</v>
      </c>
      <c r="B69" s="20" t="s">
        <v>1954</v>
      </c>
      <c r="C69" s="21" t="s">
        <v>1075</v>
      </c>
      <c r="D69" s="13">
        <v>3</v>
      </c>
      <c r="E69" s="14">
        <v>1</v>
      </c>
    </row>
    <row r="70" spans="1:5" ht="15" thickBot="1">
      <c r="A70" s="12">
        <v>10506552</v>
      </c>
      <c r="B70" s="20" t="s">
        <v>1955</v>
      </c>
      <c r="C70" s="21" t="s">
        <v>1110</v>
      </c>
      <c r="D70" s="12">
        <v>3</v>
      </c>
      <c r="E70" s="12">
        <v>1</v>
      </c>
    </row>
    <row r="71" spans="1:5" ht="15" thickBot="1">
      <c r="A71" s="12">
        <v>10506554</v>
      </c>
      <c r="B71" s="20" t="s">
        <v>1956</v>
      </c>
      <c r="C71" s="21" t="s">
        <v>1110</v>
      </c>
      <c r="D71" s="12">
        <v>3</v>
      </c>
      <c r="E71" s="12">
        <v>1</v>
      </c>
    </row>
    <row r="72" spans="1:5" ht="15" thickBot="1">
      <c r="A72" s="12">
        <v>10506554</v>
      </c>
      <c r="B72" s="20" t="s">
        <v>1956</v>
      </c>
      <c r="C72" s="21" t="s">
        <v>1195</v>
      </c>
      <c r="D72" s="12">
        <v>3</v>
      </c>
      <c r="E72" s="13">
        <v>1</v>
      </c>
    </row>
    <row r="73" spans="1:5" ht="15" thickBot="1">
      <c r="A73" s="12">
        <v>10510242</v>
      </c>
      <c r="B73" s="20" t="s">
        <v>1957</v>
      </c>
      <c r="C73" s="21" t="s">
        <v>934</v>
      </c>
      <c r="D73" s="12">
        <v>3</v>
      </c>
      <c r="E73" s="13">
        <v>1</v>
      </c>
    </row>
    <row r="74" spans="1:5" ht="15" thickBot="1">
      <c r="A74" s="12">
        <v>10510250</v>
      </c>
      <c r="B74" s="20" t="s">
        <v>1958</v>
      </c>
      <c r="C74" s="20" t="s">
        <v>773</v>
      </c>
      <c r="D74" s="12">
        <v>3</v>
      </c>
      <c r="E74" s="12">
        <v>1</v>
      </c>
    </row>
    <row r="75" spans="1:5" ht="15" thickBot="1">
      <c r="A75" s="12">
        <v>10510959</v>
      </c>
      <c r="B75" s="20" t="s">
        <v>1959</v>
      </c>
      <c r="C75" s="20" t="s">
        <v>1889</v>
      </c>
      <c r="D75" s="12">
        <v>3</v>
      </c>
      <c r="E75" s="12">
        <v>1</v>
      </c>
    </row>
    <row r="76" spans="1:5" ht="15" thickBot="1">
      <c r="A76" s="12">
        <v>10511844</v>
      </c>
      <c r="B76" s="20" t="s">
        <v>1960</v>
      </c>
      <c r="C76" s="21" t="s">
        <v>1113</v>
      </c>
      <c r="D76" s="13">
        <v>3</v>
      </c>
      <c r="E76" s="14">
        <v>1</v>
      </c>
    </row>
    <row r="77" spans="1:5" ht="15" thickBot="1">
      <c r="A77" s="12">
        <v>10514069</v>
      </c>
      <c r="B77" s="20" t="s">
        <v>1961</v>
      </c>
      <c r="C77" s="20" t="s">
        <v>773</v>
      </c>
      <c r="D77" s="12">
        <v>3</v>
      </c>
      <c r="E77" s="12">
        <v>1</v>
      </c>
    </row>
    <row r="78" spans="1:5" ht="15" thickBot="1">
      <c r="A78" s="12">
        <v>10514235</v>
      </c>
      <c r="B78" s="20" t="s">
        <v>1962</v>
      </c>
      <c r="C78" s="20" t="s">
        <v>773</v>
      </c>
      <c r="D78" s="12">
        <v>3</v>
      </c>
      <c r="E78" s="12">
        <v>1</v>
      </c>
    </row>
    <row r="79" spans="1:5" ht="15" thickBot="1">
      <c r="A79" s="12">
        <v>10518480</v>
      </c>
      <c r="B79" s="20" t="s">
        <v>1963</v>
      </c>
      <c r="C79" s="20" t="s">
        <v>1633</v>
      </c>
      <c r="D79" s="12">
        <v>3</v>
      </c>
      <c r="E79" s="12">
        <v>1</v>
      </c>
    </row>
    <row r="80" spans="1:5" ht="15" thickBot="1">
      <c r="A80" s="12">
        <v>10524352</v>
      </c>
      <c r="B80" s="20" t="s">
        <v>1964</v>
      </c>
      <c r="C80" s="21" t="s">
        <v>1113</v>
      </c>
      <c r="D80" s="13">
        <v>3</v>
      </c>
      <c r="E80" s="14">
        <v>1</v>
      </c>
    </row>
    <row r="81" spans="1:5" ht="15" thickBot="1">
      <c r="A81" s="12">
        <v>10526630</v>
      </c>
      <c r="B81" s="20" t="s">
        <v>1965</v>
      </c>
      <c r="C81" s="20" t="s">
        <v>1966</v>
      </c>
      <c r="D81" s="12">
        <v>3</v>
      </c>
      <c r="E81" s="12">
        <v>1</v>
      </c>
    </row>
    <row r="82" spans="1:5" ht="15" thickBot="1">
      <c r="A82" s="12">
        <v>10529505</v>
      </c>
      <c r="B82" s="20" t="s">
        <v>1967</v>
      </c>
      <c r="C82" s="20" t="s">
        <v>1916</v>
      </c>
      <c r="D82" s="12">
        <v>3</v>
      </c>
      <c r="E82" s="12">
        <v>1</v>
      </c>
    </row>
    <row r="83" spans="1:5" ht="15" thickBot="1">
      <c r="A83" s="12">
        <v>10529533</v>
      </c>
      <c r="B83" s="20" t="s">
        <v>1968</v>
      </c>
      <c r="C83" s="20" t="s">
        <v>1889</v>
      </c>
      <c r="D83" s="12">
        <v>3</v>
      </c>
      <c r="E83" s="12">
        <v>1</v>
      </c>
    </row>
    <row r="84" spans="1:5" ht="15" thickBot="1">
      <c r="A84" s="12">
        <v>10537870</v>
      </c>
      <c r="B84" s="20" t="s">
        <v>1969</v>
      </c>
      <c r="C84" s="20" t="s">
        <v>1674</v>
      </c>
      <c r="D84" s="12">
        <v>3</v>
      </c>
      <c r="E84" s="12">
        <v>1</v>
      </c>
    </row>
    <row r="85" spans="1:5" ht="15" thickBot="1">
      <c r="A85" s="12">
        <v>10539726</v>
      </c>
      <c r="B85" s="20" t="s">
        <v>1970</v>
      </c>
      <c r="C85" s="21" t="s">
        <v>934</v>
      </c>
      <c r="D85" s="12">
        <v>3</v>
      </c>
      <c r="E85" s="12">
        <v>1</v>
      </c>
    </row>
    <row r="86" spans="1:5" ht="15" thickBot="1">
      <c r="A86" s="12">
        <v>10539731</v>
      </c>
      <c r="B86" s="20" t="s">
        <v>1971</v>
      </c>
      <c r="C86" s="21" t="s">
        <v>1075</v>
      </c>
      <c r="D86" s="13">
        <v>3</v>
      </c>
      <c r="E86" s="14">
        <v>1</v>
      </c>
    </row>
    <row r="87" spans="1:5" ht="15" thickBot="1">
      <c r="A87" s="12">
        <v>10539746</v>
      </c>
      <c r="B87" s="20" t="s">
        <v>1972</v>
      </c>
      <c r="C87" s="21" t="s">
        <v>1113</v>
      </c>
      <c r="D87" s="13">
        <v>3</v>
      </c>
      <c r="E87" s="14">
        <v>1</v>
      </c>
    </row>
    <row r="88" spans="1:5" ht="15" thickBot="1">
      <c r="A88" s="12">
        <v>10539760</v>
      </c>
      <c r="B88" s="20" t="s">
        <v>1973</v>
      </c>
      <c r="C88" s="21" t="s">
        <v>1448</v>
      </c>
      <c r="D88" s="12">
        <v>3</v>
      </c>
      <c r="E88" s="13">
        <v>1</v>
      </c>
    </row>
    <row r="89" spans="1:5" ht="15" thickBot="1">
      <c r="A89" s="12">
        <v>10539774</v>
      </c>
      <c r="B89" s="20" t="s">
        <v>1974</v>
      </c>
      <c r="C89" s="20" t="s">
        <v>1975</v>
      </c>
      <c r="D89" s="12">
        <v>3</v>
      </c>
      <c r="E89" s="12">
        <v>1</v>
      </c>
    </row>
    <row r="90" spans="1:5" ht="15" thickBot="1">
      <c r="A90" s="12">
        <v>10539783</v>
      </c>
      <c r="B90" s="20" t="s">
        <v>1976</v>
      </c>
      <c r="C90" s="20" t="s">
        <v>1674</v>
      </c>
      <c r="D90" s="12">
        <v>3</v>
      </c>
      <c r="E90" s="13">
        <v>1</v>
      </c>
    </row>
    <row r="91" spans="1:5" ht="15" thickBot="1">
      <c r="A91" s="12">
        <v>10540154</v>
      </c>
      <c r="B91" s="20" t="s">
        <v>1977</v>
      </c>
      <c r="C91" s="20" t="s">
        <v>610</v>
      </c>
      <c r="D91" s="12">
        <v>3</v>
      </c>
      <c r="E91" s="12">
        <v>1</v>
      </c>
    </row>
    <row r="92" spans="1:5" ht="15" thickBot="1">
      <c r="A92" s="12">
        <v>10540523</v>
      </c>
      <c r="B92" s="20" t="s">
        <v>1978</v>
      </c>
      <c r="C92" s="20" t="s">
        <v>1920</v>
      </c>
      <c r="D92" s="12">
        <v>3</v>
      </c>
      <c r="E92" s="12">
        <v>1</v>
      </c>
    </row>
    <row r="93" spans="1:5" ht="15" thickBot="1">
      <c r="A93" s="12">
        <v>10545010</v>
      </c>
      <c r="B93" s="20" t="s">
        <v>1979</v>
      </c>
      <c r="C93" s="20" t="s">
        <v>1937</v>
      </c>
      <c r="D93" s="12">
        <v>3</v>
      </c>
      <c r="E93" s="12">
        <v>1</v>
      </c>
    </row>
    <row r="94" spans="1:5" ht="15" thickBot="1">
      <c r="A94" s="12">
        <v>10545025</v>
      </c>
      <c r="B94" s="20" t="s">
        <v>1980</v>
      </c>
      <c r="C94" s="20" t="s">
        <v>1981</v>
      </c>
      <c r="D94" s="12">
        <v>3</v>
      </c>
      <c r="E94" s="12">
        <v>1</v>
      </c>
    </row>
    <row r="95" spans="1:5" ht="15" thickBot="1">
      <c r="A95" s="12">
        <v>10545042</v>
      </c>
      <c r="B95" s="20" t="s">
        <v>1982</v>
      </c>
      <c r="C95" s="20" t="s">
        <v>1981</v>
      </c>
      <c r="D95" s="12">
        <v>3</v>
      </c>
      <c r="E95" s="12">
        <v>1</v>
      </c>
    </row>
    <row r="96" spans="1:5" ht="15" thickBot="1">
      <c r="A96" s="12">
        <v>10546756</v>
      </c>
      <c r="B96" s="20" t="s">
        <v>1983</v>
      </c>
      <c r="C96" s="21" t="s">
        <v>1448</v>
      </c>
      <c r="D96" s="12">
        <v>3</v>
      </c>
      <c r="E96" s="13">
        <v>1</v>
      </c>
    </row>
    <row r="97" spans="1:5" ht="15" thickBot="1">
      <c r="A97" s="12">
        <v>10546803</v>
      </c>
      <c r="B97" s="20" t="s">
        <v>1984</v>
      </c>
      <c r="C97" s="21" t="s">
        <v>934</v>
      </c>
      <c r="D97" s="12">
        <v>3</v>
      </c>
      <c r="E97" s="12">
        <v>1</v>
      </c>
    </row>
    <row r="98" spans="1:5" ht="15" thickBot="1">
      <c r="A98" s="12">
        <v>10546803</v>
      </c>
      <c r="B98" s="20" t="s">
        <v>1984</v>
      </c>
      <c r="C98" s="21" t="s">
        <v>1195</v>
      </c>
      <c r="D98" s="12">
        <v>3</v>
      </c>
      <c r="E98" s="13">
        <v>1</v>
      </c>
    </row>
    <row r="99" spans="1:5" ht="15" thickBot="1">
      <c r="A99" s="12">
        <v>10550631</v>
      </c>
      <c r="B99" s="20" t="s">
        <v>1985</v>
      </c>
      <c r="C99" s="20" t="s">
        <v>1888</v>
      </c>
      <c r="D99" s="12">
        <v>3</v>
      </c>
      <c r="E99" s="12">
        <v>1</v>
      </c>
    </row>
    <row r="100" spans="1:5" ht="15" thickBot="1">
      <c r="A100" s="12">
        <v>10556204</v>
      </c>
      <c r="B100" s="20" t="s">
        <v>1986</v>
      </c>
      <c r="C100" s="20" t="s">
        <v>1916</v>
      </c>
      <c r="D100" s="12">
        <v>3</v>
      </c>
      <c r="E100" s="12">
        <v>1</v>
      </c>
    </row>
    <row r="101" spans="1:5" ht="15" thickBot="1">
      <c r="A101" s="12">
        <v>10558877</v>
      </c>
      <c r="B101" s="20" t="s">
        <v>1987</v>
      </c>
      <c r="C101" s="20" t="s">
        <v>1889</v>
      </c>
      <c r="D101" s="12">
        <v>3</v>
      </c>
      <c r="E101" s="12">
        <v>1</v>
      </c>
    </row>
    <row r="102" spans="1:5" ht="15" thickBot="1">
      <c r="A102" s="12">
        <v>10558924</v>
      </c>
      <c r="B102" s="20" t="s">
        <v>1988</v>
      </c>
      <c r="C102" s="20" t="s">
        <v>773</v>
      </c>
      <c r="D102" s="12">
        <v>3</v>
      </c>
      <c r="E102" s="12">
        <v>1</v>
      </c>
    </row>
    <row r="103" spans="1:5" ht="15" thickBot="1">
      <c r="A103" s="12">
        <v>10561496</v>
      </c>
      <c r="B103" s="20" t="s">
        <v>1989</v>
      </c>
      <c r="C103" s="20" t="s">
        <v>1892</v>
      </c>
      <c r="D103" s="12">
        <v>3</v>
      </c>
      <c r="E103" s="12">
        <v>1</v>
      </c>
    </row>
    <row r="104" spans="1:5" ht="15" thickBot="1">
      <c r="A104" s="12">
        <v>10561973</v>
      </c>
      <c r="B104" s="20" t="s">
        <v>1990</v>
      </c>
      <c r="C104" s="20" t="s">
        <v>1905</v>
      </c>
      <c r="D104" s="12">
        <v>3</v>
      </c>
      <c r="E104" s="12">
        <v>1</v>
      </c>
    </row>
    <row r="105" spans="1:5" ht="15" thickBot="1">
      <c r="A105" s="12">
        <v>10569567</v>
      </c>
      <c r="B105" s="20" t="s">
        <v>1991</v>
      </c>
      <c r="C105" s="20" t="s">
        <v>1920</v>
      </c>
      <c r="D105" s="12">
        <v>3</v>
      </c>
      <c r="E105" s="12">
        <v>1</v>
      </c>
    </row>
    <row r="106" spans="1:5" ht="15" thickBot="1">
      <c r="A106" s="12">
        <v>10569574</v>
      </c>
      <c r="B106" s="20" t="s">
        <v>1992</v>
      </c>
      <c r="C106" s="20" t="s">
        <v>610</v>
      </c>
      <c r="D106" s="12">
        <v>3</v>
      </c>
      <c r="E106" s="12">
        <v>1</v>
      </c>
    </row>
    <row r="107" spans="1:5" ht="15" thickBot="1">
      <c r="A107" s="12">
        <v>10569580</v>
      </c>
      <c r="B107" s="20" t="s">
        <v>1993</v>
      </c>
      <c r="C107" s="20" t="s">
        <v>773</v>
      </c>
      <c r="D107" s="12">
        <v>3</v>
      </c>
      <c r="E107" s="12">
        <v>1</v>
      </c>
    </row>
    <row r="108" spans="1:5" ht="15" thickBot="1">
      <c r="A108" s="12">
        <v>10572343</v>
      </c>
      <c r="B108" s="20" t="s">
        <v>1994</v>
      </c>
      <c r="C108" s="21" t="s">
        <v>934</v>
      </c>
      <c r="D108" s="12">
        <v>3</v>
      </c>
      <c r="E108" s="13">
        <v>1</v>
      </c>
    </row>
    <row r="109" spans="1:5" ht="15" thickBot="1">
      <c r="A109" s="12">
        <v>10572344</v>
      </c>
      <c r="B109" s="20" t="s">
        <v>1995</v>
      </c>
      <c r="C109" s="21" t="s">
        <v>1195</v>
      </c>
      <c r="D109" s="12">
        <v>3</v>
      </c>
      <c r="E109" s="12">
        <v>1</v>
      </c>
    </row>
    <row r="110" spans="1:5" ht="15" thickBot="1">
      <c r="A110" s="12">
        <v>10572347</v>
      </c>
      <c r="B110" s="20" t="s">
        <v>1996</v>
      </c>
      <c r="C110" s="21" t="s">
        <v>1448</v>
      </c>
      <c r="D110" s="12">
        <v>3</v>
      </c>
      <c r="E110" s="13">
        <v>1</v>
      </c>
    </row>
    <row r="111" spans="1:5" ht="15" thickBot="1">
      <c r="A111" s="12">
        <v>10573939</v>
      </c>
      <c r="B111" s="20" t="s">
        <v>1997</v>
      </c>
      <c r="C111" s="20" t="s">
        <v>1900</v>
      </c>
      <c r="D111" s="12">
        <v>3</v>
      </c>
      <c r="E111" s="13">
        <v>1</v>
      </c>
    </row>
    <row r="112" spans="1:5" ht="15" thickBot="1">
      <c r="A112" s="12">
        <v>10573939</v>
      </c>
      <c r="B112" s="20" t="s">
        <v>1997</v>
      </c>
      <c r="C112" s="20" t="s">
        <v>1901</v>
      </c>
      <c r="D112" s="12">
        <v>3</v>
      </c>
      <c r="E112" s="13">
        <v>1</v>
      </c>
    </row>
    <row r="113" spans="1:5" ht="15" thickBot="1">
      <c r="A113" s="12">
        <v>10573943</v>
      </c>
      <c r="B113" s="20" t="s">
        <v>1998</v>
      </c>
      <c r="C113" s="20" t="s">
        <v>773</v>
      </c>
      <c r="D113" s="12">
        <v>3</v>
      </c>
      <c r="E113" s="12">
        <v>1</v>
      </c>
    </row>
    <row r="114" spans="1:5" ht="15" thickBot="1">
      <c r="A114" s="12">
        <v>10575462</v>
      </c>
      <c r="B114" s="20" t="s">
        <v>1999</v>
      </c>
      <c r="C114" s="20" t="s">
        <v>745</v>
      </c>
      <c r="D114" s="12">
        <v>3</v>
      </c>
      <c r="E114" s="12">
        <v>1</v>
      </c>
    </row>
    <row r="115" spans="1:5" ht="15" thickBot="1">
      <c r="A115" s="12">
        <v>10576471</v>
      </c>
      <c r="B115" s="20" t="s">
        <v>2000</v>
      </c>
      <c r="C115" s="20" t="s">
        <v>745</v>
      </c>
      <c r="D115" s="12">
        <v>3</v>
      </c>
      <c r="E115" s="12">
        <v>1</v>
      </c>
    </row>
    <row r="116" spans="1:5" ht="15" thickBot="1">
      <c r="A116" s="12">
        <v>10576560</v>
      </c>
      <c r="B116" s="20" t="s">
        <v>2001</v>
      </c>
      <c r="C116" s="20" t="s">
        <v>745</v>
      </c>
      <c r="D116" s="12">
        <v>3</v>
      </c>
      <c r="E116" s="12">
        <v>1</v>
      </c>
    </row>
    <row r="117" spans="1:5" ht="15" thickBot="1">
      <c r="A117" s="12">
        <v>10590628</v>
      </c>
      <c r="B117" s="20" t="s">
        <v>2002</v>
      </c>
      <c r="C117" s="20" t="s">
        <v>1920</v>
      </c>
      <c r="D117" s="12">
        <v>3</v>
      </c>
      <c r="E117" s="12">
        <v>1</v>
      </c>
    </row>
    <row r="118" spans="1:5" ht="15" thickBot="1">
      <c r="A118" s="12">
        <v>10602917</v>
      </c>
      <c r="B118" s="20" t="s">
        <v>2003</v>
      </c>
      <c r="C118" s="21" t="s">
        <v>1448</v>
      </c>
      <c r="D118" s="12">
        <v>3</v>
      </c>
      <c r="E118" s="13">
        <v>1</v>
      </c>
    </row>
    <row r="119" spans="1:5" ht="15" thickBot="1">
      <c r="A119" s="12">
        <v>10604064</v>
      </c>
      <c r="B119" s="20" t="s">
        <v>2004</v>
      </c>
      <c r="C119" s="20" t="s">
        <v>610</v>
      </c>
      <c r="D119" s="12">
        <v>3</v>
      </c>
      <c r="E119" s="12">
        <v>1</v>
      </c>
    </row>
    <row r="120" spans="1:5" ht="15" thickBot="1">
      <c r="A120" s="12">
        <v>10604110</v>
      </c>
      <c r="B120" s="20" t="s">
        <v>2005</v>
      </c>
      <c r="C120" s="20" t="s">
        <v>831</v>
      </c>
      <c r="D120" s="12">
        <v>3</v>
      </c>
      <c r="E120" s="12">
        <v>1</v>
      </c>
    </row>
    <row r="121" spans="1:5" ht="15" thickBot="1">
      <c r="A121" s="12">
        <v>10604117</v>
      </c>
      <c r="B121" s="20" t="s">
        <v>2006</v>
      </c>
      <c r="C121" s="21" t="s">
        <v>1195</v>
      </c>
      <c r="D121" s="12">
        <v>3</v>
      </c>
      <c r="E121" s="13">
        <v>1</v>
      </c>
    </row>
    <row r="122" spans="1:5" ht="15" thickBot="1">
      <c r="A122" s="12">
        <v>10604122</v>
      </c>
      <c r="B122" s="20" t="s">
        <v>2007</v>
      </c>
      <c r="C122" s="20" t="s">
        <v>1903</v>
      </c>
      <c r="D122" s="12">
        <v>3</v>
      </c>
      <c r="E122" s="12">
        <v>1</v>
      </c>
    </row>
    <row r="123" spans="1:5" ht="15" thickBot="1">
      <c r="A123" s="12">
        <v>10604126</v>
      </c>
      <c r="B123" s="20" t="s">
        <v>2008</v>
      </c>
      <c r="C123" s="20" t="s">
        <v>831</v>
      </c>
      <c r="D123" s="12">
        <v>3</v>
      </c>
      <c r="E123" s="12">
        <v>1</v>
      </c>
    </row>
    <row r="124" spans="1:5" ht="15" thickBot="1">
      <c r="A124" s="12">
        <v>10604549</v>
      </c>
      <c r="B124" s="20" t="s">
        <v>2009</v>
      </c>
      <c r="C124" s="20" t="s">
        <v>2010</v>
      </c>
      <c r="D124" s="12">
        <v>3</v>
      </c>
      <c r="E124" s="12">
        <v>1</v>
      </c>
    </row>
    <row r="125" spans="1:5" ht="15" thickBot="1">
      <c r="A125" s="12">
        <v>10606751</v>
      </c>
      <c r="B125" s="20" t="s">
        <v>2011</v>
      </c>
      <c r="C125" s="20" t="s">
        <v>1916</v>
      </c>
      <c r="D125" s="12">
        <v>3</v>
      </c>
      <c r="E125" s="12">
        <v>1</v>
      </c>
    </row>
    <row r="126" spans="1:5" ht="15" thickBot="1">
      <c r="A126" s="12">
        <v>10606762</v>
      </c>
      <c r="B126" s="20" t="s">
        <v>2012</v>
      </c>
      <c r="C126" s="20" t="s">
        <v>745</v>
      </c>
      <c r="D126" s="12">
        <v>3</v>
      </c>
      <c r="E126" s="12">
        <v>1</v>
      </c>
    </row>
    <row r="127" spans="1:5" ht="15" thickBot="1">
      <c r="A127" s="12">
        <v>10606781</v>
      </c>
      <c r="B127" s="20" t="s">
        <v>2013</v>
      </c>
      <c r="C127" s="20" t="s">
        <v>1888</v>
      </c>
      <c r="D127" s="12">
        <v>3</v>
      </c>
      <c r="E127" s="12">
        <v>1</v>
      </c>
    </row>
    <row r="128" spans="1:5" ht="15" thickBot="1">
      <c r="A128" s="12">
        <v>10606785</v>
      </c>
      <c r="B128" s="20" t="s">
        <v>2014</v>
      </c>
      <c r="C128" s="20" t="s">
        <v>1882</v>
      </c>
      <c r="D128" s="12">
        <v>3</v>
      </c>
      <c r="E128" s="12">
        <v>1</v>
      </c>
    </row>
    <row r="129" spans="1:5" ht="15" thickBot="1">
      <c r="A129" s="12">
        <v>10606791</v>
      </c>
      <c r="B129" s="20" t="s">
        <v>2015</v>
      </c>
      <c r="C129" s="21" t="s">
        <v>934</v>
      </c>
      <c r="D129" s="12">
        <v>3</v>
      </c>
      <c r="E129" s="12">
        <v>1</v>
      </c>
    </row>
    <row r="130" spans="1:5" ht="15" thickBot="1">
      <c r="A130" s="12">
        <v>10606797</v>
      </c>
      <c r="B130" s="20" t="s">
        <v>2016</v>
      </c>
      <c r="C130" s="20" t="s">
        <v>1981</v>
      </c>
      <c r="D130" s="12">
        <v>3</v>
      </c>
      <c r="E130" s="12">
        <v>1</v>
      </c>
    </row>
    <row r="131" spans="1:5" ht="15" thickBot="1">
      <c r="A131" s="12">
        <v>10607490</v>
      </c>
      <c r="B131" s="20" t="s">
        <v>2017</v>
      </c>
      <c r="C131" s="20" t="s">
        <v>610</v>
      </c>
      <c r="D131" s="12">
        <v>3</v>
      </c>
      <c r="E131" s="12">
        <v>1</v>
      </c>
    </row>
    <row r="132" spans="1:5" ht="15" thickBot="1">
      <c r="A132" s="12">
        <v>10609745</v>
      </c>
      <c r="B132" s="20" t="s">
        <v>2018</v>
      </c>
      <c r="C132" s="20" t="s">
        <v>2019</v>
      </c>
      <c r="D132" s="12">
        <v>3</v>
      </c>
      <c r="E132" s="12">
        <v>1</v>
      </c>
    </row>
    <row r="133" spans="1:5" ht="15" thickBot="1">
      <c r="A133" s="12">
        <v>10609778</v>
      </c>
      <c r="B133" s="20" t="s">
        <v>2020</v>
      </c>
      <c r="C133" s="20" t="s">
        <v>1905</v>
      </c>
      <c r="D133" s="12">
        <v>3</v>
      </c>
      <c r="E133" s="12">
        <v>1</v>
      </c>
    </row>
    <row r="134" spans="1:5" ht="15" thickBot="1">
      <c r="A134" s="12">
        <v>10617278</v>
      </c>
      <c r="B134" s="20" t="s">
        <v>2021</v>
      </c>
      <c r="C134" s="21" t="s">
        <v>1113</v>
      </c>
      <c r="D134" s="13">
        <v>3</v>
      </c>
      <c r="E134" s="14">
        <v>1</v>
      </c>
    </row>
    <row r="135" spans="1:5" ht="15" thickBot="1">
      <c r="A135" s="12">
        <v>10617278</v>
      </c>
      <c r="B135" s="20" t="s">
        <v>2021</v>
      </c>
      <c r="C135" s="21" t="s">
        <v>2022</v>
      </c>
      <c r="D135" s="12">
        <v>3</v>
      </c>
      <c r="E135" s="12">
        <v>1</v>
      </c>
    </row>
    <row r="136" spans="1:5" ht="15" thickBot="1">
      <c r="A136" s="12">
        <v>10617287</v>
      </c>
      <c r="B136" s="20" t="s">
        <v>2023</v>
      </c>
      <c r="C136" s="20" t="s">
        <v>1892</v>
      </c>
      <c r="D136" s="12">
        <v>3</v>
      </c>
      <c r="E136" s="12">
        <v>1</v>
      </c>
    </row>
    <row r="137" spans="1:5" ht="15" thickBot="1">
      <c r="A137" s="12">
        <v>10617739</v>
      </c>
      <c r="B137" s="20" t="s">
        <v>2024</v>
      </c>
      <c r="C137" s="20" t="s">
        <v>745</v>
      </c>
      <c r="D137" s="12">
        <v>3</v>
      </c>
      <c r="E137" s="12">
        <v>1</v>
      </c>
    </row>
    <row r="138" spans="1:5" ht="15" thickBot="1">
      <c r="A138" s="12">
        <v>10619221</v>
      </c>
      <c r="B138" s="20" t="s">
        <v>2025</v>
      </c>
      <c r="C138" s="20" t="s">
        <v>2019</v>
      </c>
      <c r="D138" s="12">
        <v>3</v>
      </c>
      <c r="E138" s="12">
        <v>1</v>
      </c>
    </row>
    <row r="139" spans="1:5" ht="15" thickBot="1">
      <c r="A139" s="12">
        <v>10621523</v>
      </c>
      <c r="B139" s="20" t="s">
        <v>2026</v>
      </c>
      <c r="C139" s="20" t="s">
        <v>745</v>
      </c>
      <c r="D139" s="12">
        <v>3</v>
      </c>
      <c r="E139" s="12">
        <v>1</v>
      </c>
    </row>
    <row r="140" spans="1:5" ht="15" thickBot="1">
      <c r="A140" s="12">
        <v>10621533</v>
      </c>
      <c r="B140" s="20" t="s">
        <v>2027</v>
      </c>
      <c r="C140" s="21" t="s">
        <v>1448</v>
      </c>
      <c r="D140" s="12">
        <v>3</v>
      </c>
      <c r="E140" s="12">
        <v>1</v>
      </c>
    </row>
    <row r="141" spans="1:5" ht="15" thickBot="1">
      <c r="A141" s="12">
        <v>10621537</v>
      </c>
      <c r="B141" s="20" t="s">
        <v>2028</v>
      </c>
      <c r="C141" s="20" t="s">
        <v>1920</v>
      </c>
      <c r="D141" s="12">
        <v>3</v>
      </c>
      <c r="E141" s="12">
        <v>1</v>
      </c>
    </row>
    <row r="142" spans="1:5" ht="15" thickBot="1">
      <c r="A142" s="12">
        <v>10621544</v>
      </c>
      <c r="B142" s="20" t="s">
        <v>2029</v>
      </c>
      <c r="C142" s="21" t="s">
        <v>1110</v>
      </c>
      <c r="D142" s="12">
        <v>3</v>
      </c>
      <c r="E142" s="13">
        <v>1</v>
      </c>
    </row>
    <row r="143" spans="1:5" ht="15" thickBot="1">
      <c r="A143" s="12">
        <v>10622138</v>
      </c>
      <c r="B143" s="20" t="s">
        <v>2030</v>
      </c>
      <c r="C143" s="20" t="s">
        <v>1633</v>
      </c>
      <c r="D143" s="12">
        <v>3</v>
      </c>
      <c r="E143" s="12">
        <v>1</v>
      </c>
    </row>
    <row r="144" spans="1:5" ht="15" thickBot="1">
      <c r="A144" s="12">
        <v>10625434</v>
      </c>
      <c r="B144" s="20" t="s">
        <v>2031</v>
      </c>
      <c r="C144" s="20" t="s">
        <v>1888</v>
      </c>
      <c r="D144" s="12">
        <v>3</v>
      </c>
      <c r="E144" s="12">
        <v>1</v>
      </c>
    </row>
    <row r="145" spans="1:5" ht="15" thickBot="1">
      <c r="A145" s="12">
        <v>10627566</v>
      </c>
      <c r="B145" s="20" t="s">
        <v>2032</v>
      </c>
      <c r="C145" s="20" t="s">
        <v>1903</v>
      </c>
      <c r="D145" s="12">
        <v>3</v>
      </c>
      <c r="E145" s="12">
        <v>1</v>
      </c>
    </row>
    <row r="146" spans="1:5" ht="15" thickBot="1">
      <c r="A146" s="12">
        <v>10629908</v>
      </c>
      <c r="B146" s="20" t="s">
        <v>2033</v>
      </c>
      <c r="C146" s="20" t="s">
        <v>1889</v>
      </c>
      <c r="D146" s="12">
        <v>3</v>
      </c>
      <c r="E146" s="12">
        <v>1</v>
      </c>
    </row>
    <row r="147" spans="1:5" ht="15" thickBot="1">
      <c r="A147" s="12">
        <v>10631676</v>
      </c>
      <c r="B147" s="20" t="s">
        <v>2034</v>
      </c>
      <c r="C147" s="20" t="s">
        <v>1889</v>
      </c>
      <c r="D147" s="12">
        <v>3</v>
      </c>
      <c r="E147" s="12">
        <v>1</v>
      </c>
    </row>
    <row r="148" spans="1:5" ht="15" thickBot="1">
      <c r="A148" s="12">
        <v>10634220</v>
      </c>
      <c r="B148" s="20" t="s">
        <v>2035</v>
      </c>
      <c r="C148" s="20" t="s">
        <v>1937</v>
      </c>
      <c r="D148" s="12">
        <v>3</v>
      </c>
      <c r="E148" s="12">
        <v>1</v>
      </c>
    </row>
    <row r="149" spans="1:5" ht="15" thickBot="1">
      <c r="A149" s="12">
        <v>10634228</v>
      </c>
      <c r="B149" s="20" t="s">
        <v>2036</v>
      </c>
      <c r="C149" s="20" t="s">
        <v>2019</v>
      </c>
      <c r="D149" s="12">
        <v>3</v>
      </c>
      <c r="E149" s="12">
        <v>1</v>
      </c>
    </row>
    <row r="150" spans="1:5" ht="15" thickBot="1">
      <c r="A150" s="12">
        <v>10635312</v>
      </c>
      <c r="B150" s="20" t="s">
        <v>2037</v>
      </c>
      <c r="C150" s="21" t="s">
        <v>1448</v>
      </c>
      <c r="D150" s="12">
        <v>3</v>
      </c>
      <c r="E150" s="12">
        <v>1</v>
      </c>
    </row>
    <row r="151" spans="1:5" ht="15" thickBot="1">
      <c r="A151" s="12">
        <v>10635321</v>
      </c>
      <c r="B151" s="20" t="s">
        <v>2038</v>
      </c>
      <c r="C151" s="21" t="s">
        <v>1110</v>
      </c>
      <c r="D151" s="12">
        <v>3</v>
      </c>
      <c r="E151" s="12">
        <v>1</v>
      </c>
    </row>
    <row r="152" spans="1:5" ht="15" thickBot="1">
      <c r="A152" s="12">
        <v>10635321</v>
      </c>
      <c r="B152" s="20" t="s">
        <v>2038</v>
      </c>
      <c r="C152" s="21" t="s">
        <v>1195</v>
      </c>
      <c r="D152" s="12">
        <v>3</v>
      </c>
      <c r="E152" s="13">
        <v>1</v>
      </c>
    </row>
    <row r="153" spans="1:5" ht="15" thickBot="1">
      <c r="A153" s="12">
        <v>10639718</v>
      </c>
      <c r="B153" s="20" t="s">
        <v>2039</v>
      </c>
      <c r="C153" s="20" t="s">
        <v>1892</v>
      </c>
      <c r="D153" s="12">
        <v>3</v>
      </c>
      <c r="E153" s="12">
        <v>1</v>
      </c>
    </row>
    <row r="154" spans="1:5" ht="15" thickBot="1">
      <c r="A154" s="12">
        <v>10641135</v>
      </c>
      <c r="B154" s="20" t="s">
        <v>2040</v>
      </c>
      <c r="C154" s="20" t="s">
        <v>2019</v>
      </c>
      <c r="D154" s="12">
        <v>3</v>
      </c>
      <c r="E154" s="12">
        <v>1</v>
      </c>
    </row>
    <row r="155" spans="1:5" ht="15" thickBot="1">
      <c r="A155" s="12">
        <v>10641165</v>
      </c>
      <c r="B155" s="20" t="s">
        <v>2041</v>
      </c>
      <c r="C155" s="20" t="s">
        <v>1905</v>
      </c>
      <c r="D155" s="12">
        <v>3</v>
      </c>
      <c r="E155" s="12">
        <v>1</v>
      </c>
    </row>
    <row r="156" spans="1:5" ht="15" thickBot="1">
      <c r="A156" s="12">
        <v>10641182</v>
      </c>
      <c r="B156" s="20" t="s">
        <v>2042</v>
      </c>
      <c r="C156" s="20" t="s">
        <v>1674</v>
      </c>
      <c r="D156" s="12">
        <v>3</v>
      </c>
      <c r="E156" s="12">
        <v>1</v>
      </c>
    </row>
    <row r="157" spans="1:5" ht="15" thickBot="1">
      <c r="A157" s="12">
        <v>10643182</v>
      </c>
      <c r="B157" s="20" t="s">
        <v>2043</v>
      </c>
      <c r="C157" s="20" t="s">
        <v>1889</v>
      </c>
      <c r="D157" s="12">
        <v>3</v>
      </c>
      <c r="E157" s="12">
        <v>1</v>
      </c>
    </row>
    <row r="158" spans="1:5" ht="15" thickBot="1">
      <c r="A158" s="12">
        <v>10643191</v>
      </c>
      <c r="B158" s="20" t="s">
        <v>2044</v>
      </c>
      <c r="C158" s="21" t="s">
        <v>1110</v>
      </c>
      <c r="D158" s="12">
        <v>3</v>
      </c>
      <c r="E158" s="13">
        <v>1</v>
      </c>
    </row>
    <row r="159" spans="1:5" ht="15" thickBot="1">
      <c r="A159" s="12">
        <v>10647097</v>
      </c>
      <c r="B159" s="20" t="s">
        <v>2045</v>
      </c>
      <c r="C159" s="20" t="s">
        <v>773</v>
      </c>
      <c r="D159" s="12">
        <v>3</v>
      </c>
      <c r="E159" s="12">
        <v>1</v>
      </c>
    </row>
    <row r="160" spans="1:5" ht="15" thickBot="1">
      <c r="A160" s="12">
        <v>10647098</v>
      </c>
      <c r="B160" s="20" t="s">
        <v>2046</v>
      </c>
      <c r="C160" s="20" t="s">
        <v>1888</v>
      </c>
      <c r="D160" s="12">
        <v>3</v>
      </c>
      <c r="E160" s="12">
        <v>1</v>
      </c>
    </row>
    <row r="161" spans="1:5" ht="15" thickBot="1">
      <c r="A161" s="12">
        <v>10647101</v>
      </c>
      <c r="B161" s="20" t="s">
        <v>2047</v>
      </c>
      <c r="C161" s="20" t="s">
        <v>1905</v>
      </c>
      <c r="D161" s="12">
        <v>3</v>
      </c>
      <c r="E161" s="12">
        <v>1</v>
      </c>
    </row>
    <row r="162" spans="1:5" ht="15" thickBot="1">
      <c r="A162" s="12">
        <v>10652122</v>
      </c>
      <c r="B162" s="20" t="s">
        <v>2048</v>
      </c>
      <c r="C162" s="21" t="s">
        <v>1448</v>
      </c>
      <c r="D162" s="12">
        <v>3</v>
      </c>
      <c r="E162" s="12">
        <v>1</v>
      </c>
    </row>
    <row r="163" spans="1:5" ht="15" thickBot="1">
      <c r="A163" s="12">
        <v>10652130</v>
      </c>
      <c r="B163" s="20" t="s">
        <v>2049</v>
      </c>
      <c r="C163" s="20" t="s">
        <v>1888</v>
      </c>
      <c r="D163" s="12">
        <v>3</v>
      </c>
      <c r="E163" s="12">
        <v>1</v>
      </c>
    </row>
    <row r="164" spans="1:5" ht="15" thickBot="1">
      <c r="A164" s="12">
        <v>10653643</v>
      </c>
      <c r="B164" s="20" t="s">
        <v>2050</v>
      </c>
      <c r="C164" s="21" t="s">
        <v>1110</v>
      </c>
      <c r="D164" s="12">
        <v>3</v>
      </c>
      <c r="E164" s="13">
        <v>1</v>
      </c>
    </row>
    <row r="165" spans="1:5" ht="15" thickBot="1">
      <c r="A165" s="12">
        <v>10653647</v>
      </c>
      <c r="B165" s="20" t="s">
        <v>2051</v>
      </c>
      <c r="C165" s="21" t="s">
        <v>1110</v>
      </c>
      <c r="D165" s="12">
        <v>3</v>
      </c>
      <c r="E165" s="13">
        <v>1</v>
      </c>
    </row>
    <row r="166" spans="1:5" ht="15" thickBot="1">
      <c r="A166" s="12">
        <v>10653656</v>
      </c>
      <c r="B166" s="20" t="s">
        <v>2052</v>
      </c>
      <c r="C166" s="20" t="s">
        <v>1905</v>
      </c>
      <c r="D166" s="12">
        <v>3</v>
      </c>
      <c r="E166" s="12">
        <v>1</v>
      </c>
    </row>
    <row r="167" spans="1:5" ht="15" thickBot="1">
      <c r="A167" s="12">
        <v>10653661</v>
      </c>
      <c r="B167" s="20" t="s">
        <v>2053</v>
      </c>
      <c r="C167" s="21" t="s">
        <v>2054</v>
      </c>
      <c r="D167" s="12">
        <v>3</v>
      </c>
      <c r="E167" s="12">
        <v>1</v>
      </c>
    </row>
    <row r="168" spans="1:5" ht="15" thickBot="1">
      <c r="A168" s="12">
        <v>10653664</v>
      </c>
      <c r="B168" s="20" t="s">
        <v>2055</v>
      </c>
      <c r="C168" s="21" t="s">
        <v>1448</v>
      </c>
      <c r="D168" s="12">
        <v>3</v>
      </c>
      <c r="E168" s="13">
        <v>1</v>
      </c>
    </row>
    <row r="169" spans="1:5" ht="15" thickBot="1">
      <c r="A169" s="12">
        <v>10653672</v>
      </c>
      <c r="B169" s="20" t="s">
        <v>2056</v>
      </c>
      <c r="C169" s="20" t="s">
        <v>1892</v>
      </c>
      <c r="D169" s="12">
        <v>3</v>
      </c>
      <c r="E169" s="12">
        <v>1</v>
      </c>
    </row>
    <row r="170" spans="1:5" ht="15" thickBot="1">
      <c r="A170" s="12">
        <v>10653715</v>
      </c>
      <c r="B170" s="20" t="s">
        <v>2057</v>
      </c>
      <c r="C170" s="20" t="s">
        <v>1888</v>
      </c>
      <c r="D170" s="12">
        <v>3</v>
      </c>
      <c r="E170" s="12">
        <v>1</v>
      </c>
    </row>
    <row r="171" spans="1:5" ht="15" thickBot="1">
      <c r="A171" s="12">
        <v>10654262</v>
      </c>
      <c r="B171" s="20" t="s">
        <v>2058</v>
      </c>
      <c r="C171" s="20" t="s">
        <v>831</v>
      </c>
      <c r="D171" s="12">
        <v>3</v>
      </c>
      <c r="E171" s="12">
        <v>1</v>
      </c>
    </row>
    <row r="172" spans="1:5" ht="15" thickBot="1">
      <c r="A172" s="12">
        <v>10656647</v>
      </c>
      <c r="B172" s="20" t="s">
        <v>2059</v>
      </c>
      <c r="C172" s="21" t="s">
        <v>934</v>
      </c>
      <c r="D172" s="12">
        <v>3</v>
      </c>
      <c r="E172" s="12">
        <v>1</v>
      </c>
    </row>
    <row r="173" spans="1:5" ht="15" thickBot="1">
      <c r="A173" s="12">
        <v>10656647</v>
      </c>
      <c r="B173" s="20" t="s">
        <v>2059</v>
      </c>
      <c r="C173" s="21" t="s">
        <v>1448</v>
      </c>
      <c r="D173" s="12">
        <v>3</v>
      </c>
      <c r="E173" s="13">
        <v>1</v>
      </c>
    </row>
    <row r="174" spans="1:5" ht="15" thickBot="1">
      <c r="A174" s="12">
        <v>10656662</v>
      </c>
      <c r="B174" s="20" t="s">
        <v>2060</v>
      </c>
      <c r="C174" s="21" t="s">
        <v>1195</v>
      </c>
      <c r="D174" s="12">
        <v>3</v>
      </c>
      <c r="E174" s="13">
        <v>1</v>
      </c>
    </row>
    <row r="175" spans="1:5" ht="15" thickBot="1">
      <c r="A175" s="12">
        <v>10656667</v>
      </c>
      <c r="B175" s="20" t="s">
        <v>2061</v>
      </c>
      <c r="C175" s="20" t="s">
        <v>831</v>
      </c>
      <c r="D175" s="12">
        <v>3</v>
      </c>
      <c r="E175" s="12">
        <v>1</v>
      </c>
    </row>
    <row r="176" spans="1:5" ht="15" thickBot="1">
      <c r="A176" s="12">
        <v>10656681</v>
      </c>
      <c r="B176" s="20" t="s">
        <v>2062</v>
      </c>
      <c r="C176" s="20" t="s">
        <v>610</v>
      </c>
      <c r="D176" s="12">
        <v>3</v>
      </c>
      <c r="E176" s="12">
        <v>1</v>
      </c>
    </row>
    <row r="177" spans="1:5" ht="15" thickBot="1">
      <c r="A177" s="12">
        <v>10656693</v>
      </c>
      <c r="B177" s="20" t="s">
        <v>2063</v>
      </c>
      <c r="C177" s="21" t="s">
        <v>1195</v>
      </c>
      <c r="D177" s="12">
        <v>3</v>
      </c>
      <c r="E177" s="13">
        <v>1</v>
      </c>
    </row>
    <row r="178" spans="1:5" ht="15" thickBot="1">
      <c r="A178" s="12">
        <v>10658094</v>
      </c>
      <c r="B178" s="20" t="s">
        <v>2064</v>
      </c>
      <c r="C178" s="21" t="s">
        <v>1113</v>
      </c>
      <c r="D178" s="13">
        <v>3</v>
      </c>
      <c r="E178" s="14">
        <v>1</v>
      </c>
    </row>
    <row r="179" spans="1:5" ht="15" thickBot="1">
      <c r="A179" s="12">
        <v>10658094</v>
      </c>
      <c r="B179" s="20" t="s">
        <v>2064</v>
      </c>
      <c r="C179" s="21" t="s">
        <v>2054</v>
      </c>
      <c r="D179" s="12">
        <v>3</v>
      </c>
      <c r="E179" s="12">
        <v>1</v>
      </c>
    </row>
    <row r="180" spans="1:5" ht="15" thickBot="1">
      <c r="A180" s="12">
        <v>10658249</v>
      </c>
      <c r="B180" s="20" t="s">
        <v>2065</v>
      </c>
      <c r="C180" s="20" t="s">
        <v>1905</v>
      </c>
      <c r="D180" s="12">
        <v>3</v>
      </c>
      <c r="E180" s="12">
        <v>1</v>
      </c>
    </row>
    <row r="181" spans="1:5" ht="15" thickBot="1">
      <c r="A181" s="12">
        <v>10658269</v>
      </c>
      <c r="B181" s="20" t="s">
        <v>2066</v>
      </c>
      <c r="C181" s="20" t="s">
        <v>1916</v>
      </c>
      <c r="D181" s="12">
        <v>3</v>
      </c>
      <c r="E181" s="12">
        <v>1</v>
      </c>
    </row>
    <row r="182" spans="1:5" ht="15" thickBot="1">
      <c r="A182" s="12">
        <v>10658278</v>
      </c>
      <c r="B182" s="20" t="s">
        <v>2067</v>
      </c>
      <c r="C182" s="20" t="s">
        <v>1905</v>
      </c>
      <c r="D182" s="12">
        <v>3</v>
      </c>
      <c r="E182" s="12">
        <v>1</v>
      </c>
    </row>
    <row r="183" spans="1:5" ht="15" thickBot="1">
      <c r="A183" s="12">
        <v>10658432</v>
      </c>
      <c r="B183" s="20" t="s">
        <v>2068</v>
      </c>
      <c r="C183" s="21" t="s">
        <v>1075</v>
      </c>
      <c r="D183" s="13">
        <v>3</v>
      </c>
      <c r="E183" s="14">
        <v>1</v>
      </c>
    </row>
    <row r="184" spans="1:5" ht="15" thickBot="1">
      <c r="A184" s="12">
        <v>10658460</v>
      </c>
      <c r="B184" s="20" t="s">
        <v>2069</v>
      </c>
      <c r="C184" s="21" t="s">
        <v>1075</v>
      </c>
      <c r="D184" s="13">
        <v>3</v>
      </c>
      <c r="E184" s="14">
        <v>1</v>
      </c>
    </row>
    <row r="185" spans="1:5" ht="15" thickBot="1">
      <c r="A185" s="12">
        <v>10658462</v>
      </c>
      <c r="B185" s="20" t="s">
        <v>2070</v>
      </c>
      <c r="C185" s="20" t="s">
        <v>610</v>
      </c>
      <c r="D185" s="12">
        <v>3</v>
      </c>
      <c r="E185" s="12">
        <v>1</v>
      </c>
    </row>
    <row r="186" spans="1:5" ht="15" thickBot="1">
      <c r="A186" s="12">
        <v>10659413</v>
      </c>
      <c r="B186" s="20" t="s">
        <v>2071</v>
      </c>
      <c r="C186" s="21" t="s">
        <v>1448</v>
      </c>
      <c r="D186" s="12">
        <v>3</v>
      </c>
      <c r="E186" s="12">
        <v>1</v>
      </c>
    </row>
    <row r="187" spans="1:5" ht="15" thickBot="1">
      <c r="A187" s="12">
        <v>10659413</v>
      </c>
      <c r="B187" s="20" t="s">
        <v>2071</v>
      </c>
      <c r="C187" s="21" t="s">
        <v>1195</v>
      </c>
      <c r="D187" s="12">
        <v>3</v>
      </c>
      <c r="E187" s="13">
        <v>1</v>
      </c>
    </row>
    <row r="188" spans="1:5" ht="15" thickBot="1">
      <c r="A188" s="12">
        <v>10659414</v>
      </c>
      <c r="B188" s="20" t="s">
        <v>2072</v>
      </c>
      <c r="C188" s="21" t="s">
        <v>1195</v>
      </c>
      <c r="D188" s="12">
        <v>3</v>
      </c>
      <c r="E188" s="13">
        <v>1</v>
      </c>
    </row>
    <row r="189" spans="1:5" ht="15" thickBot="1">
      <c r="A189" s="12">
        <v>10659426</v>
      </c>
      <c r="B189" s="20" t="s">
        <v>2073</v>
      </c>
      <c r="C189" s="21" t="s">
        <v>1075</v>
      </c>
      <c r="D189" s="13">
        <v>3</v>
      </c>
      <c r="E189" s="14">
        <v>1</v>
      </c>
    </row>
    <row r="190" spans="1:5" ht="15" thickBot="1">
      <c r="A190" s="12">
        <v>10659431</v>
      </c>
      <c r="B190" s="20" t="s">
        <v>2074</v>
      </c>
      <c r="C190" s="21" t="s">
        <v>934</v>
      </c>
      <c r="D190" s="12">
        <v>3</v>
      </c>
      <c r="E190" s="12">
        <v>1</v>
      </c>
    </row>
    <row r="191" spans="1:5" ht="15" thickBot="1">
      <c r="A191" s="12">
        <v>10659431</v>
      </c>
      <c r="B191" s="20" t="s">
        <v>2074</v>
      </c>
      <c r="C191" s="21" t="s">
        <v>1448</v>
      </c>
      <c r="D191" s="12">
        <v>3</v>
      </c>
      <c r="E191" s="13">
        <v>1</v>
      </c>
    </row>
    <row r="192" spans="1:5" ht="15" thickBot="1">
      <c r="A192" s="12">
        <v>10659446</v>
      </c>
      <c r="B192" s="20" t="s">
        <v>2075</v>
      </c>
      <c r="C192" s="21" t="s">
        <v>1200</v>
      </c>
      <c r="D192" s="13">
        <v>3</v>
      </c>
      <c r="E192" s="14">
        <v>1</v>
      </c>
    </row>
    <row r="193" spans="1:5" ht="15" thickBot="1">
      <c r="A193" s="12">
        <v>10659446</v>
      </c>
      <c r="B193" s="20" t="s">
        <v>2075</v>
      </c>
      <c r="C193" s="21" t="s">
        <v>2054</v>
      </c>
      <c r="D193" s="12">
        <v>3</v>
      </c>
      <c r="E193" s="12">
        <v>1</v>
      </c>
    </row>
    <row r="194" spans="1:5" ht="15" thickBot="1">
      <c r="A194" s="12">
        <v>10659476</v>
      </c>
      <c r="B194" s="20" t="s">
        <v>2076</v>
      </c>
      <c r="C194" s="21" t="s">
        <v>1200</v>
      </c>
      <c r="D194" s="13">
        <v>3</v>
      </c>
      <c r="E194" s="14">
        <v>1</v>
      </c>
    </row>
    <row r="195" spans="1:5" ht="15" thickBot="1">
      <c r="A195" s="12">
        <v>10659516</v>
      </c>
      <c r="B195" s="20" t="s">
        <v>2077</v>
      </c>
      <c r="C195" s="21" t="s">
        <v>1448</v>
      </c>
      <c r="D195" s="12">
        <v>3</v>
      </c>
      <c r="E195" s="13">
        <v>1</v>
      </c>
    </row>
    <row r="196" spans="1:5" ht="15" thickBot="1">
      <c r="A196" s="12">
        <v>10659529</v>
      </c>
      <c r="B196" s="20" t="s">
        <v>2078</v>
      </c>
      <c r="C196" s="21" t="s">
        <v>934</v>
      </c>
      <c r="D196" s="12">
        <v>3</v>
      </c>
      <c r="E196" s="13">
        <v>1</v>
      </c>
    </row>
    <row r="197" spans="1:5" ht="15" thickBot="1">
      <c r="A197" s="12">
        <v>10659529</v>
      </c>
      <c r="B197" s="20" t="s">
        <v>2078</v>
      </c>
      <c r="C197" s="21" t="s">
        <v>1448</v>
      </c>
      <c r="D197" s="12">
        <v>3</v>
      </c>
      <c r="E197" s="12">
        <v>1</v>
      </c>
    </row>
    <row r="198" spans="1:5" ht="15" thickBot="1">
      <c r="A198" s="12">
        <v>10659600</v>
      </c>
      <c r="B198" s="20" t="s">
        <v>2079</v>
      </c>
      <c r="C198" s="20" t="s">
        <v>831</v>
      </c>
      <c r="D198" s="12">
        <v>3</v>
      </c>
      <c r="E198" s="12">
        <v>1</v>
      </c>
    </row>
    <row r="199" spans="1:5" ht="15" thickBot="1">
      <c r="A199" s="12">
        <v>10660111</v>
      </c>
      <c r="B199" s="20" t="s">
        <v>2080</v>
      </c>
      <c r="C199" s="21" t="s">
        <v>1075</v>
      </c>
      <c r="D199" s="13">
        <v>3</v>
      </c>
      <c r="E199" s="14">
        <v>1</v>
      </c>
    </row>
    <row r="200" spans="1:5" ht="15" thickBot="1">
      <c r="A200" s="12">
        <v>10660114</v>
      </c>
      <c r="B200" s="20" t="s">
        <v>2081</v>
      </c>
      <c r="C200" s="21" t="s">
        <v>1075</v>
      </c>
      <c r="D200" s="13">
        <v>3</v>
      </c>
      <c r="E200" s="14">
        <v>1</v>
      </c>
    </row>
    <row r="201" spans="1:5" ht="15" thickBot="1">
      <c r="A201" s="12">
        <v>10660684</v>
      </c>
      <c r="B201" s="20" t="s">
        <v>2082</v>
      </c>
      <c r="C201" s="21" t="s">
        <v>1195</v>
      </c>
      <c r="D201" s="12">
        <v>3</v>
      </c>
      <c r="E201" s="13">
        <v>1</v>
      </c>
    </row>
    <row r="202" spans="1:5" ht="15" thickBot="1">
      <c r="A202" s="12">
        <v>10660705</v>
      </c>
      <c r="B202" s="20" t="s">
        <v>2083</v>
      </c>
      <c r="C202" s="21" t="s">
        <v>2022</v>
      </c>
      <c r="D202" s="12">
        <v>3</v>
      </c>
      <c r="E202" s="12">
        <v>1</v>
      </c>
    </row>
    <row r="203" spans="1:5" ht="15" thickBot="1">
      <c r="A203" s="12">
        <v>10661918</v>
      </c>
      <c r="B203" s="20" t="s">
        <v>2084</v>
      </c>
      <c r="C203" s="21" t="s">
        <v>2022</v>
      </c>
      <c r="D203" s="12">
        <v>3</v>
      </c>
      <c r="E203" s="12">
        <v>1</v>
      </c>
    </row>
    <row r="204" spans="1:5" ht="15" thickBot="1">
      <c r="A204" s="12">
        <v>10661955</v>
      </c>
      <c r="B204" s="20" t="s">
        <v>2085</v>
      </c>
      <c r="C204" s="21" t="s">
        <v>1110</v>
      </c>
      <c r="D204" s="12">
        <v>3</v>
      </c>
      <c r="E204" s="12">
        <v>1</v>
      </c>
    </row>
    <row r="205" spans="1:5" ht="15" thickBot="1">
      <c r="A205" s="12">
        <v>10661971</v>
      </c>
      <c r="B205" s="20" t="s">
        <v>2086</v>
      </c>
      <c r="C205" s="20" t="s">
        <v>773</v>
      </c>
      <c r="D205" s="12">
        <v>3</v>
      </c>
      <c r="E205" s="12">
        <v>1</v>
      </c>
    </row>
    <row r="206" spans="1:5" ht="15" thickBot="1">
      <c r="A206" s="12">
        <v>10661976</v>
      </c>
      <c r="B206" s="20" t="s">
        <v>2087</v>
      </c>
      <c r="C206" s="21" t="s">
        <v>2054</v>
      </c>
      <c r="D206" s="12">
        <v>3</v>
      </c>
      <c r="E206" s="12">
        <v>1</v>
      </c>
    </row>
    <row r="207" spans="1:5" ht="15" thickBot="1">
      <c r="A207" s="12">
        <v>10662725</v>
      </c>
      <c r="B207" s="20" t="s">
        <v>2088</v>
      </c>
      <c r="C207" s="21" t="s">
        <v>2022</v>
      </c>
      <c r="D207" s="12">
        <v>3</v>
      </c>
      <c r="E207" s="12">
        <v>1</v>
      </c>
    </row>
    <row r="208" spans="1:5" ht="15" thickBot="1">
      <c r="A208" s="12">
        <v>10664053</v>
      </c>
      <c r="B208" s="20" t="s">
        <v>2089</v>
      </c>
      <c r="C208" s="20" t="s">
        <v>610</v>
      </c>
      <c r="D208" s="12">
        <v>3</v>
      </c>
      <c r="E208" s="12">
        <v>1</v>
      </c>
    </row>
    <row r="209" spans="1:5" ht="15" thickBot="1">
      <c r="A209" s="12">
        <v>10664104</v>
      </c>
      <c r="B209" s="20" t="s">
        <v>2090</v>
      </c>
      <c r="C209" s="21" t="s">
        <v>1113</v>
      </c>
      <c r="D209" s="13">
        <v>3</v>
      </c>
      <c r="E209" s="14">
        <v>1</v>
      </c>
    </row>
    <row r="210" spans="1:5" ht="15" thickBot="1">
      <c r="A210" s="12">
        <v>10664104</v>
      </c>
      <c r="B210" s="20" t="s">
        <v>2090</v>
      </c>
      <c r="C210" s="21" t="s">
        <v>2091</v>
      </c>
      <c r="D210" s="12">
        <v>3</v>
      </c>
      <c r="E210" s="12">
        <v>1</v>
      </c>
    </row>
    <row r="211" spans="1:5" ht="15" thickBot="1">
      <c r="A211" s="12">
        <v>10664185</v>
      </c>
      <c r="B211" s="20" t="s">
        <v>2092</v>
      </c>
      <c r="C211" s="20" t="s">
        <v>831</v>
      </c>
      <c r="D211" s="12">
        <v>3</v>
      </c>
      <c r="E211" s="12">
        <v>1</v>
      </c>
    </row>
    <row r="212" spans="1:5" ht="15" thickBot="1">
      <c r="A212" s="12">
        <v>10664195</v>
      </c>
      <c r="B212" s="20" t="s">
        <v>2093</v>
      </c>
      <c r="C212" s="20" t="s">
        <v>1888</v>
      </c>
      <c r="D212" s="12">
        <v>3</v>
      </c>
      <c r="E212" s="12">
        <v>1</v>
      </c>
    </row>
    <row r="213" spans="1:5" ht="15" thickBot="1">
      <c r="A213" s="12">
        <v>10665133</v>
      </c>
      <c r="B213" s="20" t="s">
        <v>2094</v>
      </c>
      <c r="C213" s="21" t="s">
        <v>1200</v>
      </c>
      <c r="D213" s="13">
        <v>3</v>
      </c>
      <c r="E213" s="14">
        <v>1</v>
      </c>
    </row>
    <row r="214" spans="1:5" ht="15" thickBot="1">
      <c r="A214" s="12">
        <v>10666666</v>
      </c>
      <c r="B214" s="20" t="s">
        <v>2095</v>
      </c>
      <c r="C214" s="21" t="s">
        <v>1195</v>
      </c>
      <c r="D214" s="12">
        <v>3</v>
      </c>
      <c r="E214" s="13">
        <v>1</v>
      </c>
    </row>
    <row r="215" spans="1:5" ht="15" thickBot="1">
      <c r="A215" s="12">
        <v>10666740</v>
      </c>
      <c r="B215" s="20" t="s">
        <v>2096</v>
      </c>
      <c r="C215" s="21" t="s">
        <v>1113</v>
      </c>
      <c r="D215" s="13">
        <v>3</v>
      </c>
      <c r="E215" s="14">
        <v>1</v>
      </c>
    </row>
    <row r="216" spans="1:5" ht="15" thickBot="1">
      <c r="A216" s="12">
        <v>10666744</v>
      </c>
      <c r="B216" s="20" t="s">
        <v>2097</v>
      </c>
      <c r="C216" s="20" t="s">
        <v>831</v>
      </c>
      <c r="D216" s="12">
        <v>3</v>
      </c>
      <c r="E216" s="12">
        <v>1</v>
      </c>
    </row>
    <row r="217" spans="1:5" ht="15" thickBot="1">
      <c r="A217" s="12">
        <v>10666754</v>
      </c>
      <c r="B217" s="20" t="s">
        <v>2098</v>
      </c>
      <c r="C217" s="21" t="s">
        <v>1113</v>
      </c>
      <c r="D217" s="13">
        <v>3</v>
      </c>
      <c r="E217" s="14">
        <v>1</v>
      </c>
    </row>
    <row r="218" spans="1:5" ht="15" thickBot="1">
      <c r="A218" s="12">
        <v>10666754</v>
      </c>
      <c r="B218" s="20" t="s">
        <v>2098</v>
      </c>
      <c r="C218" s="21" t="s">
        <v>2091</v>
      </c>
      <c r="D218" s="12">
        <v>3</v>
      </c>
      <c r="E218" s="12">
        <v>1</v>
      </c>
    </row>
    <row r="219" spans="1:5" ht="15" thickBot="1">
      <c r="A219" s="12">
        <v>10666757</v>
      </c>
      <c r="B219" s="20" t="s">
        <v>2099</v>
      </c>
      <c r="C219" s="21" t="s">
        <v>1113</v>
      </c>
      <c r="D219" s="13">
        <v>3</v>
      </c>
      <c r="E219" s="14">
        <v>1</v>
      </c>
    </row>
    <row r="220" spans="1:5" ht="15" thickBot="1">
      <c r="A220" s="12">
        <v>10666772</v>
      </c>
      <c r="B220" s="20" t="s">
        <v>2100</v>
      </c>
      <c r="C220" s="21" t="s">
        <v>1200</v>
      </c>
      <c r="D220" s="13">
        <v>3</v>
      </c>
      <c r="E220" s="14">
        <v>1</v>
      </c>
    </row>
    <row r="221" spans="1:5" ht="15" thickBot="1">
      <c r="A221" s="12">
        <v>10666793</v>
      </c>
      <c r="B221" s="20" t="s">
        <v>2101</v>
      </c>
      <c r="C221" s="21" t="s">
        <v>1200</v>
      </c>
      <c r="D221" s="13">
        <v>3</v>
      </c>
      <c r="E221" s="14">
        <v>1</v>
      </c>
    </row>
    <row r="222" spans="1:5" ht="15" thickBot="1">
      <c r="A222" s="12">
        <v>10666798</v>
      </c>
      <c r="B222" s="20" t="s">
        <v>2102</v>
      </c>
      <c r="C222" s="21" t="s">
        <v>1195</v>
      </c>
      <c r="D222" s="12">
        <v>3</v>
      </c>
      <c r="E222" s="13">
        <v>1</v>
      </c>
    </row>
    <row r="223" spans="1:5" ht="15" thickBot="1">
      <c r="A223" s="12">
        <v>10666801</v>
      </c>
      <c r="B223" s="22" t="s">
        <v>2103</v>
      </c>
      <c r="C223" s="21" t="s">
        <v>1200</v>
      </c>
      <c r="D223" s="13">
        <v>3</v>
      </c>
      <c r="E223" s="14">
        <v>1</v>
      </c>
    </row>
    <row r="224" spans="1:5" ht="15" thickBot="1">
      <c r="A224" s="12">
        <v>10666812</v>
      </c>
      <c r="B224" s="20" t="s">
        <v>2104</v>
      </c>
      <c r="C224" s="21" t="s">
        <v>1200</v>
      </c>
      <c r="D224" s="13">
        <v>3</v>
      </c>
      <c r="E224" s="14">
        <v>1</v>
      </c>
    </row>
    <row r="225" spans="1:5" ht="15" thickBot="1">
      <c r="A225" s="12">
        <v>10666827</v>
      </c>
      <c r="B225" s="20" t="s">
        <v>2105</v>
      </c>
      <c r="C225" s="21" t="s">
        <v>934</v>
      </c>
      <c r="D225" s="12">
        <v>3</v>
      </c>
      <c r="E225" s="13">
        <v>1</v>
      </c>
    </row>
    <row r="226" spans="1:5" ht="15" thickBot="1">
      <c r="A226" s="12">
        <v>10666827</v>
      </c>
      <c r="B226" s="20" t="s">
        <v>2105</v>
      </c>
      <c r="C226" s="21" t="s">
        <v>1110</v>
      </c>
      <c r="D226" s="12">
        <v>3</v>
      </c>
      <c r="E226" s="12">
        <v>1</v>
      </c>
    </row>
    <row r="227" spans="1:5" ht="15" thickBot="1">
      <c r="A227" s="12">
        <v>10666837</v>
      </c>
      <c r="B227" s="20" t="s">
        <v>2106</v>
      </c>
      <c r="C227" s="21" t="s">
        <v>1195</v>
      </c>
      <c r="D227" s="12">
        <v>3</v>
      </c>
      <c r="E227" s="13">
        <v>1</v>
      </c>
    </row>
    <row r="228" spans="1:5" ht="15" thickBot="1">
      <c r="A228" s="12">
        <v>10666845</v>
      </c>
      <c r="B228" s="20" t="s">
        <v>2107</v>
      </c>
      <c r="C228" s="21" t="s">
        <v>934</v>
      </c>
      <c r="D228" s="12">
        <v>3</v>
      </c>
      <c r="E228" s="12">
        <v>1</v>
      </c>
    </row>
    <row r="229" spans="1:5" ht="15" thickBot="1">
      <c r="A229" s="12">
        <v>10666852</v>
      </c>
      <c r="B229" s="20" t="s">
        <v>2108</v>
      </c>
      <c r="C229" s="21" t="s">
        <v>1110</v>
      </c>
      <c r="D229" s="12">
        <v>3</v>
      </c>
      <c r="E229" s="12">
        <v>1</v>
      </c>
    </row>
    <row r="230" spans="1:5" ht="15" thickBot="1">
      <c r="A230" s="12">
        <v>10666866</v>
      </c>
      <c r="B230" s="20" t="s">
        <v>2109</v>
      </c>
      <c r="C230" s="21" t="s">
        <v>1200</v>
      </c>
      <c r="D230" s="13">
        <v>3</v>
      </c>
      <c r="E230" s="14">
        <v>1</v>
      </c>
    </row>
    <row r="231" spans="1:5" ht="15" thickBot="1">
      <c r="A231" s="12">
        <v>10667006</v>
      </c>
      <c r="B231" s="20" t="s">
        <v>2110</v>
      </c>
      <c r="C231" s="21" t="s">
        <v>1110</v>
      </c>
      <c r="D231" s="12">
        <v>3</v>
      </c>
      <c r="E231" s="12">
        <v>1</v>
      </c>
    </row>
    <row r="232" spans="1:5" ht="15" thickBot="1">
      <c r="A232" s="12">
        <v>10668102</v>
      </c>
      <c r="B232" s="20" t="s">
        <v>2111</v>
      </c>
      <c r="C232" s="21" t="s">
        <v>1075</v>
      </c>
      <c r="D232" s="13">
        <v>3</v>
      </c>
      <c r="E232" s="14">
        <v>1</v>
      </c>
    </row>
    <row r="233" spans="1:5" ht="15" thickBot="1">
      <c r="A233" s="12">
        <v>10668102</v>
      </c>
      <c r="B233" s="20" t="s">
        <v>2111</v>
      </c>
      <c r="C233" s="21" t="s">
        <v>2091</v>
      </c>
      <c r="D233" s="12">
        <v>3</v>
      </c>
      <c r="E233" s="12">
        <v>1</v>
      </c>
    </row>
    <row r="234" spans="1:5" ht="15" thickBot="1">
      <c r="A234" s="12">
        <v>10668106</v>
      </c>
      <c r="B234" s="20" t="s">
        <v>2112</v>
      </c>
      <c r="C234" s="21" t="s">
        <v>1448</v>
      </c>
      <c r="D234" s="12">
        <v>3</v>
      </c>
      <c r="E234" s="13">
        <v>1</v>
      </c>
    </row>
    <row r="235" spans="1:5" ht="15" thickBot="1">
      <c r="A235" s="12">
        <v>10668118</v>
      </c>
      <c r="B235" s="20" t="s">
        <v>2113</v>
      </c>
      <c r="C235" s="21" t="s">
        <v>2022</v>
      </c>
      <c r="D235" s="12">
        <v>3</v>
      </c>
      <c r="E235" s="12">
        <v>1</v>
      </c>
    </row>
    <row r="236" spans="1:5" ht="15" thickBot="1">
      <c r="A236" s="12">
        <v>10668124</v>
      </c>
      <c r="B236" s="20" t="s">
        <v>2114</v>
      </c>
      <c r="C236" s="21" t="s">
        <v>934</v>
      </c>
      <c r="D236" s="12">
        <v>3</v>
      </c>
      <c r="E236" s="12">
        <v>1</v>
      </c>
    </row>
    <row r="237" spans="1:5" ht="15" thickBot="1">
      <c r="A237" s="12">
        <v>10668132</v>
      </c>
      <c r="B237" s="20" t="s">
        <v>2115</v>
      </c>
      <c r="C237" s="21" t="s">
        <v>987</v>
      </c>
      <c r="D237" s="12">
        <v>3</v>
      </c>
      <c r="E237" s="12">
        <v>1</v>
      </c>
    </row>
    <row r="238" spans="1:5" ht="15" thickBot="1">
      <c r="A238" s="12">
        <v>10668180</v>
      </c>
      <c r="B238" s="20" t="s">
        <v>2116</v>
      </c>
      <c r="C238" s="21" t="s">
        <v>1200</v>
      </c>
      <c r="D238" s="13">
        <v>3</v>
      </c>
      <c r="E238" s="14">
        <v>1</v>
      </c>
    </row>
    <row r="239" spans="1:5" ht="15" thickBot="1">
      <c r="A239" s="12">
        <v>10668180</v>
      </c>
      <c r="B239" s="20" t="s">
        <v>2116</v>
      </c>
      <c r="C239" s="21" t="s">
        <v>987</v>
      </c>
      <c r="D239" s="12">
        <v>3</v>
      </c>
      <c r="E239" s="12">
        <v>1</v>
      </c>
    </row>
    <row r="240" spans="1:5" ht="15" thickBot="1">
      <c r="A240" s="12">
        <v>10668189</v>
      </c>
      <c r="B240" s="20" t="s">
        <v>2117</v>
      </c>
      <c r="C240" s="21" t="s">
        <v>1195</v>
      </c>
      <c r="D240" s="12">
        <v>3</v>
      </c>
      <c r="E240" s="13">
        <v>1</v>
      </c>
    </row>
    <row r="241" spans="1:5" ht="15" thickBot="1">
      <c r="A241" s="12">
        <v>10668189</v>
      </c>
      <c r="B241" s="20" t="s">
        <v>2117</v>
      </c>
      <c r="C241" s="21" t="s">
        <v>2022</v>
      </c>
      <c r="D241" s="12">
        <v>3</v>
      </c>
      <c r="E241" s="12">
        <v>1</v>
      </c>
    </row>
    <row r="242" spans="1:5" ht="15" thickBot="1">
      <c r="A242" s="12">
        <v>10668206</v>
      </c>
      <c r="B242" s="20" t="s">
        <v>2118</v>
      </c>
      <c r="C242" s="21" t="s">
        <v>1113</v>
      </c>
      <c r="D242" s="13">
        <v>3</v>
      </c>
      <c r="E242" s="14">
        <v>1</v>
      </c>
    </row>
    <row r="243" spans="1:5" ht="15" thickBot="1">
      <c r="A243" s="12">
        <v>10668211</v>
      </c>
      <c r="B243" s="20" t="s">
        <v>2119</v>
      </c>
      <c r="C243" s="21" t="s">
        <v>934</v>
      </c>
      <c r="D243" s="12">
        <v>3</v>
      </c>
      <c r="E243" s="13">
        <v>1</v>
      </c>
    </row>
    <row r="244" spans="1:5" ht="15" thickBot="1">
      <c r="A244" s="12">
        <v>10668211</v>
      </c>
      <c r="B244" s="20" t="s">
        <v>2119</v>
      </c>
      <c r="C244" s="21" t="s">
        <v>1110</v>
      </c>
      <c r="D244" s="12">
        <v>3</v>
      </c>
      <c r="E244" s="12">
        <v>1</v>
      </c>
    </row>
    <row r="245" spans="1:5" ht="15" thickBot="1">
      <c r="A245" s="12">
        <v>10668228</v>
      </c>
      <c r="B245" s="20" t="s">
        <v>2120</v>
      </c>
      <c r="C245" s="21" t="s">
        <v>1448</v>
      </c>
      <c r="D245" s="12">
        <v>3</v>
      </c>
      <c r="E245" s="12">
        <v>1</v>
      </c>
    </row>
    <row r="246" spans="1:5" ht="15" thickBot="1">
      <c r="A246" s="12">
        <v>10668228</v>
      </c>
      <c r="B246" s="20" t="s">
        <v>2120</v>
      </c>
      <c r="C246" s="21" t="s">
        <v>1195</v>
      </c>
      <c r="D246" s="12">
        <v>3</v>
      </c>
      <c r="E246" s="13">
        <v>1</v>
      </c>
    </row>
    <row r="247" spans="1:5" ht="15" thickBot="1">
      <c r="A247" s="12">
        <v>10668237</v>
      </c>
      <c r="B247" s="20" t="s">
        <v>2121</v>
      </c>
      <c r="C247" s="21" t="s">
        <v>934</v>
      </c>
      <c r="D247" s="12">
        <v>3</v>
      </c>
      <c r="E247" s="12">
        <v>1</v>
      </c>
    </row>
    <row r="248" spans="1:5" ht="15" thickBot="1">
      <c r="A248" s="12">
        <v>10668259</v>
      </c>
      <c r="B248" s="20" t="s">
        <v>2122</v>
      </c>
      <c r="C248" s="21" t="s">
        <v>2091</v>
      </c>
      <c r="D248" s="12">
        <v>3</v>
      </c>
      <c r="E248" s="12">
        <v>1</v>
      </c>
    </row>
    <row r="249" spans="1:5" ht="15" thickBot="1">
      <c r="A249" s="12">
        <v>10668269</v>
      </c>
      <c r="B249" s="20" t="s">
        <v>2123</v>
      </c>
      <c r="C249" s="21" t="s">
        <v>2054</v>
      </c>
      <c r="D249" s="12">
        <v>3</v>
      </c>
      <c r="E249" s="12">
        <v>1</v>
      </c>
    </row>
    <row r="250" spans="1:5" ht="15" thickBot="1">
      <c r="A250" s="12">
        <v>10673471</v>
      </c>
      <c r="B250" s="20" t="s">
        <v>2124</v>
      </c>
      <c r="C250" s="21" t="s">
        <v>1200</v>
      </c>
      <c r="D250" s="13">
        <v>3</v>
      </c>
      <c r="E250" s="14">
        <v>1</v>
      </c>
    </row>
    <row r="251" spans="1:5" ht="15" thickBot="1">
      <c r="A251" s="12">
        <v>10673481</v>
      </c>
      <c r="B251" s="20" t="s">
        <v>2125</v>
      </c>
      <c r="C251" s="20" t="s">
        <v>1892</v>
      </c>
      <c r="D251" s="12">
        <v>3</v>
      </c>
      <c r="E251" s="12">
        <v>1</v>
      </c>
    </row>
    <row r="252" spans="1:5" ht="15" thickBot="1">
      <c r="A252" s="12">
        <v>10675804</v>
      </c>
      <c r="B252" s="20" t="s">
        <v>2126</v>
      </c>
      <c r="C252" s="21" t="s">
        <v>1200</v>
      </c>
      <c r="D252" s="13">
        <v>3</v>
      </c>
      <c r="E252" s="14">
        <v>1</v>
      </c>
    </row>
    <row r="253" spans="1:5" ht="15" thickBot="1">
      <c r="A253" s="12">
        <v>10675888</v>
      </c>
      <c r="B253" s="20" t="s">
        <v>2127</v>
      </c>
      <c r="C253" s="21" t="s">
        <v>1448</v>
      </c>
      <c r="D253" s="12">
        <v>3</v>
      </c>
      <c r="E253" s="12">
        <v>1</v>
      </c>
    </row>
    <row r="254" spans="1:5" ht="15" thickBot="1">
      <c r="A254" s="12">
        <v>10675910</v>
      </c>
      <c r="B254" s="20" t="s">
        <v>2128</v>
      </c>
      <c r="C254" s="21" t="s">
        <v>1448</v>
      </c>
      <c r="D254" s="12">
        <v>3</v>
      </c>
      <c r="E254" s="13">
        <v>1</v>
      </c>
    </row>
    <row r="255" spans="1:5" ht="15" thickBot="1">
      <c r="A255" s="12">
        <v>10675910</v>
      </c>
      <c r="B255" s="20" t="s">
        <v>2128</v>
      </c>
      <c r="C255" s="21" t="s">
        <v>1195</v>
      </c>
      <c r="D255" s="12">
        <v>3</v>
      </c>
      <c r="E255" s="12">
        <v>1</v>
      </c>
    </row>
    <row r="256" spans="1:5" ht="15" thickBot="1">
      <c r="A256" s="12">
        <v>10675928</v>
      </c>
      <c r="B256" s="20" t="s">
        <v>2129</v>
      </c>
      <c r="C256" s="21" t="s">
        <v>934</v>
      </c>
      <c r="D256" s="12">
        <v>3</v>
      </c>
      <c r="E256" s="13">
        <v>1</v>
      </c>
    </row>
    <row r="257" spans="1:5" ht="15" thickBot="1">
      <c r="A257" s="12">
        <v>10676717</v>
      </c>
      <c r="B257" s="20" t="s">
        <v>2130</v>
      </c>
      <c r="C257" s="20" t="s">
        <v>1888</v>
      </c>
      <c r="D257" s="12">
        <v>3</v>
      </c>
      <c r="E257" s="12">
        <v>1</v>
      </c>
    </row>
    <row r="258" spans="1:5" ht="15" thickBot="1">
      <c r="A258" s="12">
        <v>10680150</v>
      </c>
      <c r="B258" s="20" t="s">
        <v>2131</v>
      </c>
      <c r="C258" s="21" t="s">
        <v>2054</v>
      </c>
      <c r="D258" s="12">
        <v>3</v>
      </c>
      <c r="E258" s="12">
        <v>1</v>
      </c>
    </row>
    <row r="259" spans="1:5" ht="15" thickBot="1">
      <c r="A259" s="12">
        <v>10680161</v>
      </c>
      <c r="B259" s="20" t="s">
        <v>2132</v>
      </c>
      <c r="C259" s="20" t="s">
        <v>610</v>
      </c>
      <c r="D259" s="12">
        <v>3</v>
      </c>
      <c r="E259" s="12">
        <v>1</v>
      </c>
    </row>
    <row r="260" spans="1:5" ht="15" thickBot="1">
      <c r="A260" s="12">
        <v>10680212</v>
      </c>
      <c r="B260" s="20" t="s">
        <v>2133</v>
      </c>
      <c r="C260" s="20" t="s">
        <v>1633</v>
      </c>
      <c r="D260" s="12">
        <v>3</v>
      </c>
      <c r="E260" s="12">
        <v>1</v>
      </c>
    </row>
    <row r="261" spans="1:5" ht="15" thickBot="1">
      <c r="A261" s="12">
        <v>10680226</v>
      </c>
      <c r="B261" s="20" t="s">
        <v>2134</v>
      </c>
      <c r="C261" s="20" t="s">
        <v>1905</v>
      </c>
      <c r="D261" s="12">
        <v>3</v>
      </c>
      <c r="E261" s="12">
        <v>1</v>
      </c>
    </row>
    <row r="262" spans="1:5" ht="15" thickBot="1">
      <c r="A262" s="12">
        <v>10680250</v>
      </c>
      <c r="B262" s="20" t="s">
        <v>2135</v>
      </c>
      <c r="C262" s="20" t="s">
        <v>1981</v>
      </c>
      <c r="D262" s="12">
        <v>3</v>
      </c>
      <c r="E262" s="12">
        <v>1</v>
      </c>
    </row>
    <row r="263" spans="1:5" ht="15" thickBot="1">
      <c r="A263" s="12">
        <v>10680258</v>
      </c>
      <c r="B263" s="20" t="s">
        <v>2136</v>
      </c>
      <c r="C263" s="20" t="s">
        <v>1981</v>
      </c>
      <c r="D263" s="12">
        <v>3</v>
      </c>
      <c r="E263" s="12">
        <v>1</v>
      </c>
    </row>
    <row r="264" spans="1:5" ht="15" thickBot="1">
      <c r="A264" s="12">
        <v>10680424</v>
      </c>
      <c r="B264" s="20" t="s">
        <v>2137</v>
      </c>
      <c r="C264" s="21" t="s">
        <v>934</v>
      </c>
      <c r="D264" s="12">
        <v>3</v>
      </c>
      <c r="E264" s="13">
        <v>1</v>
      </c>
    </row>
    <row r="265" spans="1:5" ht="15" thickBot="1">
      <c r="A265" s="12">
        <v>10680491</v>
      </c>
      <c r="B265" s="20" t="s">
        <v>2138</v>
      </c>
      <c r="C265" s="20" t="s">
        <v>610</v>
      </c>
      <c r="D265" s="12">
        <v>3</v>
      </c>
      <c r="E265" s="12">
        <v>1</v>
      </c>
    </row>
    <row r="266" spans="1:5" ht="15" thickBot="1">
      <c r="A266" s="12">
        <v>10680507</v>
      </c>
      <c r="B266" s="20" t="s">
        <v>2139</v>
      </c>
      <c r="C266" s="20" t="s">
        <v>1981</v>
      </c>
      <c r="D266" s="12">
        <v>3</v>
      </c>
      <c r="E266" s="13">
        <v>1</v>
      </c>
    </row>
    <row r="267" spans="1:5" ht="15" thickBot="1">
      <c r="A267" s="12">
        <v>10680550</v>
      </c>
      <c r="B267" s="20" t="s">
        <v>2140</v>
      </c>
      <c r="C267" s="20" t="s">
        <v>1975</v>
      </c>
      <c r="D267" s="12">
        <v>3</v>
      </c>
      <c r="E267" s="12">
        <v>1</v>
      </c>
    </row>
    <row r="268" spans="1:5" ht="15" thickBot="1">
      <c r="A268" s="12">
        <v>10680556</v>
      </c>
      <c r="B268" s="20" t="s">
        <v>2141</v>
      </c>
      <c r="C268" s="21" t="s">
        <v>1075</v>
      </c>
      <c r="D268" s="13">
        <v>3</v>
      </c>
      <c r="E268" s="14">
        <v>1</v>
      </c>
    </row>
    <row r="269" spans="1:5" ht="15" thickBot="1">
      <c r="A269" s="12">
        <v>10680559</v>
      </c>
      <c r="B269" s="20" t="s">
        <v>2142</v>
      </c>
      <c r="C269" s="20" t="s">
        <v>1903</v>
      </c>
      <c r="D269" s="12">
        <v>3</v>
      </c>
      <c r="E269" s="12">
        <v>1</v>
      </c>
    </row>
    <row r="270" spans="1:5" ht="15" thickBot="1">
      <c r="A270" s="12">
        <v>10680567</v>
      </c>
      <c r="B270" s="20" t="s">
        <v>2143</v>
      </c>
      <c r="C270" s="21" t="s">
        <v>934</v>
      </c>
      <c r="D270" s="12">
        <v>3</v>
      </c>
      <c r="E270" s="12">
        <v>1</v>
      </c>
    </row>
    <row r="271" spans="1:5" ht="15" thickBot="1">
      <c r="A271" s="12">
        <v>10680582</v>
      </c>
      <c r="B271" s="20" t="s">
        <v>2144</v>
      </c>
      <c r="C271" s="20" t="s">
        <v>831</v>
      </c>
      <c r="D271" s="12">
        <v>3</v>
      </c>
      <c r="E271" s="12">
        <v>1</v>
      </c>
    </row>
    <row r="272" spans="1:5" ht="15" thickBot="1">
      <c r="A272" s="12">
        <v>10681984</v>
      </c>
      <c r="B272" s="20" t="s">
        <v>2145</v>
      </c>
      <c r="C272" s="21" t="s">
        <v>934</v>
      </c>
      <c r="D272" s="12">
        <v>3</v>
      </c>
      <c r="E272" s="12">
        <v>1</v>
      </c>
    </row>
    <row r="273" spans="1:5" ht="15" thickBot="1">
      <c r="A273" s="12">
        <v>10685863</v>
      </c>
      <c r="B273" s="20" t="s">
        <v>2146</v>
      </c>
      <c r="C273" s="21" t="s">
        <v>1200</v>
      </c>
      <c r="D273" s="13">
        <v>3</v>
      </c>
      <c r="E273" s="14">
        <v>1</v>
      </c>
    </row>
    <row r="274" spans="1:5" ht="15" thickBot="1">
      <c r="A274" s="12">
        <v>10685863</v>
      </c>
      <c r="B274" s="20" t="s">
        <v>2146</v>
      </c>
      <c r="C274" s="21" t="s">
        <v>2022</v>
      </c>
      <c r="D274" s="12">
        <v>3</v>
      </c>
      <c r="E274" s="12">
        <v>1</v>
      </c>
    </row>
    <row r="275" spans="1:5" ht="15" thickBot="1">
      <c r="A275" s="12">
        <v>10685864</v>
      </c>
      <c r="B275" s="20" t="s">
        <v>2147</v>
      </c>
      <c r="C275" s="21" t="s">
        <v>1113</v>
      </c>
      <c r="D275" s="13">
        <v>3</v>
      </c>
      <c r="E275" s="14">
        <v>1</v>
      </c>
    </row>
    <row r="276" spans="1:5" ht="15" thickBot="1">
      <c r="A276" s="12">
        <v>10685864</v>
      </c>
      <c r="B276" s="20" t="s">
        <v>2147</v>
      </c>
      <c r="C276" s="21" t="s">
        <v>2054</v>
      </c>
      <c r="D276" s="12">
        <v>3</v>
      </c>
      <c r="E276" s="12">
        <v>1</v>
      </c>
    </row>
    <row r="277" spans="1:5" ht="15" thickBot="1">
      <c r="A277" s="12">
        <v>10685866</v>
      </c>
      <c r="B277" s="20" t="s">
        <v>2148</v>
      </c>
      <c r="C277" s="21" t="s">
        <v>987</v>
      </c>
      <c r="D277" s="12">
        <v>3</v>
      </c>
      <c r="E277" s="12">
        <v>1</v>
      </c>
    </row>
    <row r="278" spans="1:5" ht="15" thickBot="1">
      <c r="A278" s="12">
        <v>10685868</v>
      </c>
      <c r="B278" s="20" t="s">
        <v>2149</v>
      </c>
      <c r="C278" s="21" t="s">
        <v>1200</v>
      </c>
      <c r="D278" s="13">
        <v>3</v>
      </c>
      <c r="E278" s="14">
        <v>1</v>
      </c>
    </row>
    <row r="279" spans="1:5" ht="15" thickBot="1">
      <c r="A279" s="12">
        <v>10685880</v>
      </c>
      <c r="B279" s="20" t="s">
        <v>2150</v>
      </c>
      <c r="C279" s="21" t="s">
        <v>1110</v>
      </c>
      <c r="D279" s="12">
        <v>3</v>
      </c>
      <c r="E279" s="12">
        <v>1</v>
      </c>
    </row>
    <row r="280" spans="1:5" ht="15" thickBot="1">
      <c r="A280" s="12">
        <v>10685884</v>
      </c>
      <c r="B280" s="20" t="s">
        <v>2151</v>
      </c>
      <c r="C280" s="21" t="s">
        <v>1075</v>
      </c>
      <c r="D280" s="13">
        <v>3</v>
      </c>
      <c r="E280" s="14">
        <v>1</v>
      </c>
    </row>
    <row r="281" spans="1:5" ht="15" thickBot="1">
      <c r="A281" s="12">
        <v>10685884</v>
      </c>
      <c r="B281" s="20" t="s">
        <v>2151</v>
      </c>
      <c r="C281" s="21" t="s">
        <v>987</v>
      </c>
      <c r="D281" s="12">
        <v>3</v>
      </c>
      <c r="E281" s="12">
        <v>1</v>
      </c>
    </row>
    <row r="282" spans="1:5" ht="15" thickBot="1">
      <c r="A282" s="12">
        <v>10685891</v>
      </c>
      <c r="B282" s="20" t="s">
        <v>2152</v>
      </c>
      <c r="C282" s="21" t="s">
        <v>2054</v>
      </c>
      <c r="D282" s="12">
        <v>3</v>
      </c>
      <c r="E282" s="12">
        <v>1</v>
      </c>
    </row>
    <row r="283" spans="1:5" ht="15" thickBot="1">
      <c r="A283" s="12">
        <v>10685901</v>
      </c>
      <c r="B283" s="20" t="s">
        <v>2153</v>
      </c>
      <c r="C283" s="21" t="s">
        <v>2022</v>
      </c>
      <c r="D283" s="12">
        <v>3</v>
      </c>
      <c r="E283" s="12">
        <v>1</v>
      </c>
    </row>
    <row r="284" spans="1:5" ht="15" thickBot="1">
      <c r="A284" s="12">
        <v>10685908</v>
      </c>
      <c r="B284" s="20" t="s">
        <v>2154</v>
      </c>
      <c r="C284" s="21" t="s">
        <v>1113</v>
      </c>
      <c r="D284" s="13">
        <v>3</v>
      </c>
      <c r="E284" s="14">
        <v>1</v>
      </c>
    </row>
    <row r="285" spans="1:5" ht="15" thickBot="1">
      <c r="A285" s="12">
        <v>10685908</v>
      </c>
      <c r="B285" s="20" t="s">
        <v>2154</v>
      </c>
      <c r="C285" s="21" t="s">
        <v>987</v>
      </c>
      <c r="D285" s="12">
        <v>3</v>
      </c>
      <c r="E285" s="12">
        <v>1</v>
      </c>
    </row>
    <row r="286" spans="1:5" ht="15" thickBot="1">
      <c r="A286" s="12">
        <v>10685912</v>
      </c>
      <c r="B286" s="20" t="s">
        <v>2155</v>
      </c>
      <c r="C286" s="21" t="s">
        <v>1113</v>
      </c>
      <c r="D286" s="13">
        <v>3</v>
      </c>
      <c r="E286" s="14">
        <v>1</v>
      </c>
    </row>
    <row r="287" spans="1:5" ht="15" thickBot="1">
      <c r="A287" s="12">
        <v>10685933</v>
      </c>
      <c r="B287" s="20" t="s">
        <v>2156</v>
      </c>
      <c r="C287" s="21" t="s">
        <v>2054</v>
      </c>
      <c r="D287" s="12">
        <v>3</v>
      </c>
      <c r="E287" s="12">
        <v>1</v>
      </c>
    </row>
    <row r="288" spans="1:5" ht="15" thickBot="1">
      <c r="A288" s="12">
        <v>10685944</v>
      </c>
      <c r="B288" s="20" t="s">
        <v>2157</v>
      </c>
      <c r="C288" s="21" t="s">
        <v>1113</v>
      </c>
      <c r="D288" s="13">
        <v>3</v>
      </c>
      <c r="E288" s="14">
        <v>1</v>
      </c>
    </row>
    <row r="289" spans="1:5" ht="15" thickBot="1">
      <c r="A289" s="12">
        <v>10685944</v>
      </c>
      <c r="B289" s="20" t="s">
        <v>2157</v>
      </c>
      <c r="C289" s="21" t="s">
        <v>2022</v>
      </c>
      <c r="D289" s="12">
        <v>3</v>
      </c>
      <c r="E289" s="12">
        <v>1</v>
      </c>
    </row>
    <row r="290" spans="1:5" ht="15" thickBot="1">
      <c r="A290" s="12">
        <v>10685959</v>
      </c>
      <c r="B290" s="20" t="s">
        <v>2158</v>
      </c>
      <c r="C290" s="21" t="s">
        <v>934</v>
      </c>
      <c r="D290" s="12">
        <v>3</v>
      </c>
      <c r="E290" s="12">
        <v>1</v>
      </c>
    </row>
    <row r="291" spans="1:5" ht="15" thickBot="1">
      <c r="A291" s="12">
        <v>10688306</v>
      </c>
      <c r="B291" s="20" t="s">
        <v>2159</v>
      </c>
      <c r="C291" s="20" t="s">
        <v>610</v>
      </c>
      <c r="D291" s="12">
        <v>3</v>
      </c>
      <c r="E291" s="12">
        <v>1</v>
      </c>
    </row>
    <row r="292" spans="1:5" ht="15" thickBot="1">
      <c r="A292" s="12">
        <v>10688348</v>
      </c>
      <c r="B292" s="20" t="s">
        <v>2160</v>
      </c>
      <c r="C292" s="21" t="s">
        <v>1200</v>
      </c>
      <c r="D292" s="13">
        <v>3</v>
      </c>
      <c r="E292" s="14">
        <v>1</v>
      </c>
    </row>
    <row r="293" spans="1:5" ht="15" thickBot="1">
      <c r="A293" s="12">
        <v>10688353</v>
      </c>
      <c r="B293" s="20" t="s">
        <v>2161</v>
      </c>
      <c r="C293" s="20" t="s">
        <v>610</v>
      </c>
      <c r="D293" s="12">
        <v>3</v>
      </c>
      <c r="E293" s="12">
        <v>1</v>
      </c>
    </row>
    <row r="294" spans="1:5" ht="15" thickBot="1">
      <c r="A294" s="12">
        <v>10688363</v>
      </c>
      <c r="B294" s="20" t="s">
        <v>2162</v>
      </c>
      <c r="C294" s="20" t="s">
        <v>1937</v>
      </c>
      <c r="D294" s="12">
        <v>3</v>
      </c>
      <c r="E294" s="12">
        <v>1</v>
      </c>
    </row>
    <row r="295" spans="1:5" ht="15" thickBot="1">
      <c r="A295" s="12">
        <v>10688367</v>
      </c>
      <c r="B295" s="20" t="s">
        <v>2163</v>
      </c>
      <c r="C295" s="20" t="s">
        <v>1981</v>
      </c>
      <c r="D295" s="12">
        <v>3</v>
      </c>
      <c r="E295" s="12">
        <v>1</v>
      </c>
    </row>
    <row r="296" spans="1:5" ht="15" thickBot="1">
      <c r="A296" s="12">
        <v>10688371</v>
      </c>
      <c r="B296" s="20" t="s">
        <v>2164</v>
      </c>
      <c r="C296" s="20" t="s">
        <v>745</v>
      </c>
      <c r="D296" s="12">
        <v>3</v>
      </c>
      <c r="E296" s="12">
        <v>1</v>
      </c>
    </row>
    <row r="297" spans="1:5" ht="15" thickBot="1">
      <c r="A297" s="12">
        <v>10688411</v>
      </c>
      <c r="B297" s="20" t="s">
        <v>2165</v>
      </c>
      <c r="C297" s="20" t="s">
        <v>1903</v>
      </c>
      <c r="D297" s="12">
        <v>3</v>
      </c>
      <c r="E297" s="12">
        <v>1</v>
      </c>
    </row>
    <row r="298" spans="1:5" ht="15" thickBot="1">
      <c r="A298" s="12">
        <v>10688523</v>
      </c>
      <c r="B298" s="20" t="s">
        <v>2166</v>
      </c>
      <c r="C298" s="21" t="s">
        <v>1075</v>
      </c>
      <c r="D298" s="13">
        <v>3</v>
      </c>
      <c r="E298" s="14">
        <v>1</v>
      </c>
    </row>
    <row r="299" spans="1:5" ht="15" thickBot="1">
      <c r="A299" s="12">
        <v>10688526</v>
      </c>
      <c r="B299" s="20" t="s">
        <v>2167</v>
      </c>
      <c r="C299" s="20" t="s">
        <v>1920</v>
      </c>
      <c r="D299" s="12">
        <v>3</v>
      </c>
      <c r="E299" s="12">
        <v>1</v>
      </c>
    </row>
    <row r="300" spans="1:5" ht="15" thickBot="1">
      <c r="A300" s="12">
        <v>10688532</v>
      </c>
      <c r="B300" s="20" t="s">
        <v>2168</v>
      </c>
      <c r="C300" s="20" t="s">
        <v>831</v>
      </c>
      <c r="D300" s="12">
        <v>3</v>
      </c>
      <c r="E300" s="12">
        <v>1</v>
      </c>
    </row>
    <row r="301" spans="1:5" ht="15" thickBot="1">
      <c r="A301" s="12">
        <v>10688535</v>
      </c>
      <c r="B301" s="20" t="s">
        <v>2169</v>
      </c>
      <c r="C301" s="20" t="s">
        <v>745</v>
      </c>
      <c r="D301" s="12">
        <v>3</v>
      </c>
      <c r="E301" s="12">
        <v>1</v>
      </c>
    </row>
    <row r="302" spans="1:5" ht="15" thickBot="1">
      <c r="A302" s="12">
        <v>10688548</v>
      </c>
      <c r="B302" s="20" t="s">
        <v>2170</v>
      </c>
      <c r="C302" s="21" t="s">
        <v>1113</v>
      </c>
      <c r="D302" s="13">
        <v>3</v>
      </c>
      <c r="E302" s="14">
        <v>1</v>
      </c>
    </row>
    <row r="303" spans="1:5" ht="15" thickBot="1">
      <c r="A303" s="12">
        <v>10688548</v>
      </c>
      <c r="B303" s="20" t="s">
        <v>2170</v>
      </c>
      <c r="C303" s="21" t="s">
        <v>2054</v>
      </c>
      <c r="D303" s="12">
        <v>3</v>
      </c>
      <c r="E303" s="12">
        <v>1</v>
      </c>
    </row>
    <row r="304" spans="1:5" ht="15" thickBot="1">
      <c r="A304" s="12">
        <v>10691387</v>
      </c>
      <c r="B304" s="20" t="s">
        <v>2171</v>
      </c>
      <c r="C304" s="20" t="s">
        <v>1888</v>
      </c>
      <c r="D304" s="12">
        <v>3</v>
      </c>
      <c r="E304" s="12">
        <v>1</v>
      </c>
    </row>
    <row r="305" spans="1:5" ht="15" thickBot="1">
      <c r="A305" s="12">
        <v>10691399</v>
      </c>
      <c r="B305" s="20" t="s">
        <v>2172</v>
      </c>
      <c r="C305" s="20" t="s">
        <v>1903</v>
      </c>
      <c r="D305" s="12">
        <v>3</v>
      </c>
      <c r="E305" s="12">
        <v>1</v>
      </c>
    </row>
    <row r="306" spans="1:5" ht="15" thickBot="1">
      <c r="A306" s="12">
        <v>10691401</v>
      </c>
      <c r="B306" s="20" t="s">
        <v>2173</v>
      </c>
      <c r="C306" s="20" t="s">
        <v>1888</v>
      </c>
      <c r="D306" s="12">
        <v>3</v>
      </c>
      <c r="E306" s="12">
        <v>1</v>
      </c>
    </row>
    <row r="307" spans="1:5" ht="15" thickBot="1">
      <c r="A307" s="12">
        <v>10691405</v>
      </c>
      <c r="B307" s="20" t="s">
        <v>2174</v>
      </c>
      <c r="C307" s="21" t="s">
        <v>1113</v>
      </c>
      <c r="D307" s="13">
        <v>3</v>
      </c>
      <c r="E307" s="14">
        <v>1</v>
      </c>
    </row>
    <row r="308" spans="1:5" ht="15" thickBot="1">
      <c r="A308" s="12">
        <v>10691413</v>
      </c>
      <c r="B308" s="20" t="s">
        <v>2175</v>
      </c>
      <c r="C308" s="21" t="s">
        <v>1113</v>
      </c>
      <c r="D308" s="13">
        <v>3</v>
      </c>
      <c r="E308" s="14">
        <v>1</v>
      </c>
    </row>
    <row r="309" spans="1:5" ht="15" thickBot="1">
      <c r="A309" s="12">
        <v>10691655</v>
      </c>
      <c r="B309" s="20" t="s">
        <v>2176</v>
      </c>
      <c r="C309" s="20" t="s">
        <v>1916</v>
      </c>
      <c r="D309" s="12">
        <v>3</v>
      </c>
      <c r="E309" s="12">
        <v>1</v>
      </c>
    </row>
    <row r="310" spans="1:5" ht="15" thickBot="1">
      <c r="A310" s="12">
        <v>10691686</v>
      </c>
      <c r="B310" s="20" t="s">
        <v>2177</v>
      </c>
      <c r="C310" s="20" t="s">
        <v>605</v>
      </c>
      <c r="D310" s="12">
        <v>3</v>
      </c>
      <c r="E310" s="12">
        <v>1</v>
      </c>
    </row>
    <row r="311" spans="1:5" ht="15" thickBot="1">
      <c r="A311" s="12">
        <v>10691688</v>
      </c>
      <c r="B311" s="20" t="s">
        <v>2178</v>
      </c>
      <c r="C311" s="20" t="s">
        <v>831</v>
      </c>
      <c r="D311" s="12">
        <v>3</v>
      </c>
      <c r="E311" s="12">
        <v>1</v>
      </c>
    </row>
    <row r="312" spans="1:5" ht="15" thickBot="1">
      <c r="A312" s="12">
        <v>10691691</v>
      </c>
      <c r="B312" s="20" t="s">
        <v>2179</v>
      </c>
      <c r="C312" s="20" t="s">
        <v>1903</v>
      </c>
      <c r="D312" s="12">
        <v>3</v>
      </c>
      <c r="E312" s="12">
        <v>1</v>
      </c>
    </row>
    <row r="313" spans="1:5" ht="15" thickBot="1">
      <c r="A313" s="12">
        <v>10691693</v>
      </c>
      <c r="B313" s="20" t="s">
        <v>2180</v>
      </c>
      <c r="C313" s="20" t="s">
        <v>610</v>
      </c>
      <c r="D313" s="12">
        <v>3</v>
      </c>
      <c r="E313" s="12">
        <v>1</v>
      </c>
    </row>
    <row r="314" spans="1:5" ht="15" thickBot="1">
      <c r="A314" s="12">
        <v>10691696</v>
      </c>
      <c r="B314" s="20" t="s">
        <v>2181</v>
      </c>
      <c r="C314" s="20" t="s">
        <v>605</v>
      </c>
      <c r="D314" s="12">
        <v>3</v>
      </c>
      <c r="E314" s="12">
        <v>1</v>
      </c>
    </row>
    <row r="315" spans="1:5" ht="15" thickBot="1">
      <c r="A315" s="12">
        <v>10691699</v>
      </c>
      <c r="B315" s="20" t="s">
        <v>2182</v>
      </c>
      <c r="C315" s="20" t="s">
        <v>605</v>
      </c>
      <c r="D315" s="12">
        <v>3</v>
      </c>
      <c r="E315" s="12">
        <v>1</v>
      </c>
    </row>
    <row r="316" spans="1:5" ht="15" thickBot="1">
      <c r="A316" s="12">
        <v>10691704</v>
      </c>
      <c r="B316" s="20" t="s">
        <v>2183</v>
      </c>
      <c r="C316" s="20" t="s">
        <v>610</v>
      </c>
      <c r="D316" s="12">
        <v>3</v>
      </c>
      <c r="E316" s="12">
        <v>1</v>
      </c>
    </row>
    <row r="317" spans="1:5" ht="15" thickBot="1">
      <c r="A317" s="12">
        <v>10691710</v>
      </c>
      <c r="B317" s="20" t="s">
        <v>2184</v>
      </c>
      <c r="C317" s="20" t="s">
        <v>610</v>
      </c>
      <c r="D317" s="12">
        <v>3</v>
      </c>
      <c r="E317" s="12">
        <v>1</v>
      </c>
    </row>
    <row r="318" spans="1:5" ht="15" thickBot="1">
      <c r="A318" s="12">
        <v>10691713</v>
      </c>
      <c r="B318" s="20" t="s">
        <v>2185</v>
      </c>
      <c r="C318" s="20" t="s">
        <v>610</v>
      </c>
      <c r="D318" s="12">
        <v>3</v>
      </c>
      <c r="E318" s="12">
        <v>1</v>
      </c>
    </row>
    <row r="319" spans="1:5" ht="15" thickBot="1">
      <c r="A319" s="12">
        <v>10691714</v>
      </c>
      <c r="B319" s="20" t="s">
        <v>2186</v>
      </c>
      <c r="C319" s="21" t="s">
        <v>1113</v>
      </c>
      <c r="D319" s="13">
        <v>3</v>
      </c>
      <c r="E319" s="14">
        <v>1</v>
      </c>
    </row>
    <row r="320" spans="1:5" ht="15" thickBot="1">
      <c r="A320" s="12">
        <v>10691714</v>
      </c>
      <c r="B320" s="20" t="s">
        <v>2186</v>
      </c>
      <c r="C320" s="20" t="s">
        <v>745</v>
      </c>
      <c r="D320" s="12">
        <v>3</v>
      </c>
      <c r="E320" s="12">
        <v>1</v>
      </c>
    </row>
    <row r="321" spans="1:5" ht="15" thickBot="1">
      <c r="A321" s="12">
        <v>10691718</v>
      </c>
      <c r="B321" s="20" t="s">
        <v>2187</v>
      </c>
      <c r="C321" s="20" t="s">
        <v>610</v>
      </c>
      <c r="D321" s="12">
        <v>3</v>
      </c>
      <c r="E321" s="12">
        <v>1</v>
      </c>
    </row>
    <row r="322" spans="1:5" ht="15" thickBot="1">
      <c r="A322" s="12">
        <v>10691724</v>
      </c>
      <c r="B322" s="20" t="s">
        <v>2188</v>
      </c>
      <c r="C322" s="21" t="s">
        <v>1448</v>
      </c>
      <c r="D322" s="12">
        <v>3</v>
      </c>
      <c r="E322" s="12">
        <v>1</v>
      </c>
    </row>
    <row r="323" spans="1:5" ht="15" thickBot="1">
      <c r="A323" s="12">
        <v>10691734</v>
      </c>
      <c r="B323" s="20" t="s">
        <v>2189</v>
      </c>
      <c r="C323" s="20" t="s">
        <v>610</v>
      </c>
      <c r="D323" s="12">
        <v>3</v>
      </c>
      <c r="E323" s="12">
        <v>1</v>
      </c>
    </row>
    <row r="324" spans="1:5" ht="15" thickBot="1">
      <c r="A324" s="12">
        <v>10691741</v>
      </c>
      <c r="B324" s="20" t="s">
        <v>2190</v>
      </c>
      <c r="C324" s="20" t="s">
        <v>610</v>
      </c>
      <c r="D324" s="12">
        <v>3</v>
      </c>
      <c r="E324" s="12">
        <v>1</v>
      </c>
    </row>
  </sheetData>
  <autoFilter ref="A1:E324" xr:uid="{57CE13CB-D2C3-4D5A-9F56-EDFFE1F833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531B-DF17-4063-A378-24E885C57216}">
  <dimension ref="C1:BY84"/>
  <sheetViews>
    <sheetView topLeftCell="BU7" zoomScale="85" zoomScaleNormal="85" workbookViewId="0">
      <selection activeCell="BY14" sqref="BY14"/>
    </sheetView>
  </sheetViews>
  <sheetFormatPr defaultRowHeight="14.45"/>
  <cols>
    <col min="27" max="27" width="8.85546875" customWidth="1"/>
    <col min="32" max="32" width="11.7109375" bestFit="1" customWidth="1"/>
    <col min="33" max="33" width="21.85546875" customWidth="1"/>
    <col min="34" max="34" width="24.140625" customWidth="1"/>
    <col min="40" max="40" width="9.28515625" bestFit="1" customWidth="1"/>
    <col min="41" max="41" width="23.140625" bestFit="1" customWidth="1"/>
    <col min="45" max="45" width="9.28515625" bestFit="1" customWidth="1"/>
    <col min="49" max="49" width="13.42578125" customWidth="1"/>
    <col min="57" max="57" width="23.85546875" bestFit="1" customWidth="1"/>
  </cols>
  <sheetData>
    <row r="1" spans="3:77">
      <c r="C1">
        <v>10361555</v>
      </c>
      <c r="D1" t="s">
        <v>1166</v>
      </c>
      <c r="H1">
        <v>10357224</v>
      </c>
      <c r="I1" s="10" t="s">
        <v>934</v>
      </c>
      <c r="J1" s="10" t="s">
        <v>91</v>
      </c>
      <c r="L1">
        <v>10500453</v>
      </c>
      <c r="M1" s="10" t="s">
        <v>945</v>
      </c>
      <c r="N1" s="10" t="s">
        <v>138</v>
      </c>
      <c r="O1">
        <v>10643727</v>
      </c>
      <c r="P1" s="10" t="s">
        <v>987</v>
      </c>
      <c r="Q1" s="10" t="s">
        <v>138</v>
      </c>
      <c r="R1">
        <v>10602917</v>
      </c>
      <c r="S1" s="10" t="s">
        <v>1110</v>
      </c>
      <c r="T1" s="10" t="s">
        <v>76</v>
      </c>
      <c r="U1" t="s">
        <v>993</v>
      </c>
      <c r="V1" s="10" t="s">
        <v>59</v>
      </c>
      <c r="X1">
        <v>10359845</v>
      </c>
      <c r="Y1" s="10" t="s">
        <v>1012</v>
      </c>
      <c r="AA1" s="10" t="s">
        <v>91</v>
      </c>
      <c r="AB1" t="str">
        <f>_xlfn.XLOOKUP(X1,'001-EC-HR-HRBP-Job Information '!B:B,'001-EC-HR-HRBP-Job Information '!S:S)</f>
        <v>งานตัดแต่งพิเศษ</v>
      </c>
    </row>
    <row r="2" spans="3:77" ht="23.45">
      <c r="C2">
        <v>10653661</v>
      </c>
      <c r="D2" t="s">
        <v>1166</v>
      </c>
      <c r="H2">
        <v>10500467</v>
      </c>
      <c r="I2" s="10" t="s">
        <v>934</v>
      </c>
      <c r="J2" s="10" t="s">
        <v>138</v>
      </c>
      <c r="L2">
        <v>10500442</v>
      </c>
      <c r="M2" s="10" t="s">
        <v>945</v>
      </c>
      <c r="N2" s="10" t="s">
        <v>138</v>
      </c>
      <c r="O2">
        <v>10643716</v>
      </c>
      <c r="P2" s="10" t="s">
        <v>987</v>
      </c>
      <c r="Q2" s="10" t="s">
        <v>138</v>
      </c>
      <c r="R2">
        <v>10621533</v>
      </c>
      <c r="S2" s="10" t="s">
        <v>1110</v>
      </c>
      <c r="T2" s="10" t="s">
        <v>58</v>
      </c>
      <c r="V2" s="10" t="s">
        <v>59</v>
      </c>
      <c r="X2">
        <v>10328604</v>
      </c>
      <c r="Y2" s="10" t="s">
        <v>1012</v>
      </c>
      <c r="AA2" s="10" t="s">
        <v>102</v>
      </c>
      <c r="AB2" t="str">
        <f>_xlfn.XLOOKUP(X2,'001-EC-HR-HRBP-Job Information '!B:B,'001-EC-HR-HRBP-Job Information '!S:S)</f>
        <v>งานตัดแต่งพิเศษ</v>
      </c>
      <c r="AE2" t="s">
        <v>2191</v>
      </c>
      <c r="AF2" t="s">
        <v>2192</v>
      </c>
      <c r="AG2" t="s">
        <v>22</v>
      </c>
      <c r="AH2" t="s">
        <v>2193</v>
      </c>
      <c r="AI2" t="s">
        <v>2194</v>
      </c>
      <c r="AN2" s="39">
        <v>10526630</v>
      </c>
      <c r="AO2" s="39" t="s">
        <v>2195</v>
      </c>
      <c r="AP2" s="39" t="s">
        <v>102</v>
      </c>
      <c r="AS2">
        <v>10232733</v>
      </c>
      <c r="AT2" t="s">
        <v>2196</v>
      </c>
      <c r="AW2">
        <v>10407392</v>
      </c>
      <c r="AX2" t="s">
        <v>610</v>
      </c>
      <c r="BA2">
        <v>10357224</v>
      </c>
      <c r="BB2" t="s">
        <v>934</v>
      </c>
      <c r="BC2" t="s">
        <v>91</v>
      </c>
      <c r="BE2" t="s">
        <v>1992</v>
      </c>
      <c r="BF2" s="10" t="s">
        <v>2197</v>
      </c>
      <c r="BI2">
        <v>10501461</v>
      </c>
      <c r="BJ2" s="10" t="s">
        <v>1448</v>
      </c>
      <c r="BK2" s="10" t="s">
        <v>138</v>
      </c>
      <c r="BL2">
        <v>10430354</v>
      </c>
      <c r="BM2" s="10" t="s">
        <v>1195</v>
      </c>
      <c r="BN2" s="10" t="s">
        <v>102</v>
      </c>
      <c r="BP2" t="s">
        <v>2198</v>
      </c>
      <c r="BQ2" s="10" t="s">
        <v>2199</v>
      </c>
      <c r="BS2" t="s">
        <v>2200</v>
      </c>
      <c r="BT2" s="10" t="s">
        <v>2201</v>
      </c>
      <c r="BW2" t="s">
        <v>1944</v>
      </c>
      <c r="BX2" s="10" t="s">
        <v>2202</v>
      </c>
    </row>
    <row r="3" spans="3:77" ht="23.45">
      <c r="C3">
        <v>10654256</v>
      </c>
      <c r="D3" t="s">
        <v>1166</v>
      </c>
      <c r="H3">
        <v>10572343</v>
      </c>
      <c r="I3" s="10" t="s">
        <v>934</v>
      </c>
      <c r="J3" s="10" t="s">
        <v>212</v>
      </c>
      <c r="L3">
        <v>10602919</v>
      </c>
      <c r="M3" s="10" t="s">
        <v>945</v>
      </c>
      <c r="N3" s="10" t="s">
        <v>69</v>
      </c>
      <c r="O3">
        <v>10660705</v>
      </c>
      <c r="P3" s="10" t="s">
        <v>987</v>
      </c>
      <c r="Q3" s="10" t="s">
        <v>84</v>
      </c>
      <c r="R3">
        <v>10653643</v>
      </c>
      <c r="S3" s="10" t="s">
        <v>1110</v>
      </c>
      <c r="T3" s="10" t="s">
        <v>76</v>
      </c>
      <c r="V3" s="10" t="s">
        <v>59</v>
      </c>
      <c r="X3">
        <v>10407322</v>
      </c>
      <c r="Y3" s="10" t="s">
        <v>1012</v>
      </c>
      <c r="AA3" s="10" t="s">
        <v>138</v>
      </c>
      <c r="AB3" t="str">
        <f>_xlfn.XLOOKUP(X3,'001-EC-HR-HRBP-Job Information '!B:B,'001-EC-HR-HRBP-Job Information '!S:S)</f>
        <v>งานตัดแต่งพิเศษ</v>
      </c>
      <c r="AE3">
        <v>1</v>
      </c>
      <c r="AF3">
        <v>10545042</v>
      </c>
      <c r="AG3" t="s">
        <v>448</v>
      </c>
      <c r="AH3" t="s">
        <v>2203</v>
      </c>
      <c r="AI3" t="s">
        <v>2204</v>
      </c>
      <c r="AJ3" t="str">
        <f>_xlfn.XLOOKUP(AF3,'001-EC-HR-HRBP-Job Information '!B:B,'001-EC-HR-HRBP-Job Information '!S:S,"")</f>
        <v>งานคลังสินค้า</v>
      </c>
      <c r="AN3" s="39">
        <v>10539767</v>
      </c>
      <c r="AO3" s="39" t="s">
        <v>2205</v>
      </c>
      <c r="AP3" s="39" t="s">
        <v>102</v>
      </c>
      <c r="AS3">
        <v>10654262</v>
      </c>
      <c r="AT3" t="s">
        <v>2196</v>
      </c>
      <c r="AW3">
        <v>10407375</v>
      </c>
      <c r="AX3" t="s">
        <v>610</v>
      </c>
      <c r="BA3">
        <v>10500467</v>
      </c>
      <c r="BB3" t="s">
        <v>934</v>
      </c>
      <c r="BC3" t="s">
        <v>138</v>
      </c>
      <c r="BE3" t="s">
        <v>2089</v>
      </c>
      <c r="BF3" s="10" t="s">
        <v>2197</v>
      </c>
      <c r="BI3">
        <v>10656662</v>
      </c>
      <c r="BJ3" s="10" t="s">
        <v>1448</v>
      </c>
      <c r="BK3" s="10" t="s">
        <v>91</v>
      </c>
      <c r="BL3">
        <v>10635321</v>
      </c>
      <c r="BM3" s="10" t="s">
        <v>1195</v>
      </c>
      <c r="BN3" s="10" t="s">
        <v>212</v>
      </c>
      <c r="BP3" t="s">
        <v>2058</v>
      </c>
      <c r="BQ3" s="10" t="s">
        <v>2199</v>
      </c>
      <c r="BS3" t="s">
        <v>1927</v>
      </c>
      <c r="BT3" s="10" t="s">
        <v>2201</v>
      </c>
      <c r="BW3" t="s">
        <v>2001</v>
      </c>
      <c r="BX3" s="10" t="s">
        <v>2202</v>
      </c>
    </row>
    <row r="4" spans="3:77" ht="23.45">
      <c r="C4">
        <v>10660438</v>
      </c>
      <c r="D4" t="s">
        <v>1166</v>
      </c>
      <c r="H4">
        <v>10510242</v>
      </c>
      <c r="I4" s="10" t="s">
        <v>934</v>
      </c>
      <c r="J4" s="10" t="s">
        <v>84</v>
      </c>
      <c r="L4">
        <v>10631670</v>
      </c>
      <c r="M4" s="10" t="s">
        <v>945</v>
      </c>
      <c r="N4" s="10" t="s">
        <v>76</v>
      </c>
      <c r="O4">
        <v>10661894</v>
      </c>
      <c r="P4" s="10" t="s">
        <v>987</v>
      </c>
      <c r="Q4" s="10" t="s">
        <v>69</v>
      </c>
      <c r="R4">
        <v>10433259</v>
      </c>
      <c r="S4" s="10" t="s">
        <v>1110</v>
      </c>
      <c r="T4" s="10" t="s">
        <v>58</v>
      </c>
      <c r="V4" s="10" t="s">
        <v>59</v>
      </c>
      <c r="X4">
        <v>10338152</v>
      </c>
      <c r="Y4" s="10" t="s">
        <v>1012</v>
      </c>
      <c r="AA4" s="10" t="s">
        <v>138</v>
      </c>
      <c r="AB4" t="str">
        <f>_xlfn.XLOOKUP(X4,'001-EC-HR-HRBP-Job Information '!B:B,'001-EC-HR-HRBP-Job Information '!S:S)</f>
        <v>งานตัดแต่งพิเศษ</v>
      </c>
      <c r="AE4">
        <v>2</v>
      </c>
      <c r="AF4">
        <v>10668850</v>
      </c>
      <c r="AG4" t="s">
        <v>448</v>
      </c>
      <c r="AH4" t="s">
        <v>2206</v>
      </c>
      <c r="AI4" t="s">
        <v>2207</v>
      </c>
      <c r="AJ4" t="str">
        <f>_xlfn.XLOOKUP(AF4,'001-EC-HR-HRBP-Job Information '!B:B,'001-EC-HR-HRBP-Job Information '!S:S,"")</f>
        <v/>
      </c>
      <c r="AN4" s="39">
        <v>10653675</v>
      </c>
      <c r="AO4" s="39" t="s">
        <v>2208</v>
      </c>
      <c r="AP4" s="39" t="s">
        <v>2209</v>
      </c>
      <c r="AS4">
        <v>10656602</v>
      </c>
      <c r="AT4" t="s">
        <v>2196</v>
      </c>
      <c r="AW4">
        <v>10540154</v>
      </c>
      <c r="AX4" t="s">
        <v>610</v>
      </c>
      <c r="BA4">
        <v>10572343</v>
      </c>
      <c r="BB4" t="s">
        <v>934</v>
      </c>
      <c r="BC4" t="s">
        <v>212</v>
      </c>
      <c r="BE4" t="s">
        <v>2210</v>
      </c>
      <c r="BF4" s="10" t="s">
        <v>2197</v>
      </c>
      <c r="BI4">
        <v>10343714</v>
      </c>
      <c r="BJ4" s="10" t="s">
        <v>1448</v>
      </c>
      <c r="BK4" s="10" t="s">
        <v>69</v>
      </c>
      <c r="BL4">
        <v>10539726</v>
      </c>
      <c r="BM4" s="10" t="s">
        <v>1195</v>
      </c>
      <c r="BN4" s="10" t="s">
        <v>91</v>
      </c>
      <c r="BP4" t="s">
        <v>2211</v>
      </c>
      <c r="BQ4" s="10" t="s">
        <v>2199</v>
      </c>
      <c r="BS4" t="s">
        <v>1977</v>
      </c>
      <c r="BT4" s="10" t="s">
        <v>2201</v>
      </c>
      <c r="BW4" t="s">
        <v>2212</v>
      </c>
      <c r="BX4" s="10" t="s">
        <v>2202</v>
      </c>
    </row>
    <row r="5" spans="3:77" ht="23.45">
      <c r="C5">
        <v>10661976</v>
      </c>
      <c r="D5" t="s">
        <v>1166</v>
      </c>
      <c r="H5">
        <v>10410604</v>
      </c>
      <c r="I5" s="10" t="s">
        <v>934</v>
      </c>
      <c r="J5" s="10" t="s">
        <v>58</v>
      </c>
      <c r="L5">
        <v>10654251</v>
      </c>
      <c r="M5" s="10" t="s">
        <v>945</v>
      </c>
      <c r="N5" s="10" t="s">
        <v>84</v>
      </c>
      <c r="O5">
        <v>10668232</v>
      </c>
      <c r="P5" s="10" t="s">
        <v>987</v>
      </c>
      <c r="Q5" s="10" t="s">
        <v>91</v>
      </c>
      <c r="R5">
        <v>10506552</v>
      </c>
      <c r="S5" s="10" t="s">
        <v>1110</v>
      </c>
      <c r="T5" s="10" t="s">
        <v>212</v>
      </c>
      <c r="V5" s="10" t="s">
        <v>59</v>
      </c>
      <c r="X5">
        <v>10500405</v>
      </c>
      <c r="Y5" s="10" t="s">
        <v>1012</v>
      </c>
      <c r="AA5" s="10" t="s">
        <v>84</v>
      </c>
      <c r="AB5" t="str">
        <f>_xlfn.XLOOKUP(X5,'001-EC-HR-HRBP-Job Information '!B:B,'001-EC-HR-HRBP-Job Information '!S:S)</f>
        <v>งานตัดแต่งพิเศษ</v>
      </c>
      <c r="AE5">
        <v>3</v>
      </c>
      <c r="AF5">
        <v>10561973</v>
      </c>
      <c r="AG5" t="s">
        <v>448</v>
      </c>
      <c r="AH5" t="s">
        <v>2213</v>
      </c>
      <c r="AI5" t="s">
        <v>102</v>
      </c>
      <c r="AJ5" t="str">
        <f>_xlfn.XLOOKUP(AF5,'001-EC-HR-HRBP-Job Information '!B:B,'001-EC-HR-HRBP-Job Information '!S:S,"")</f>
        <v>งานคลังสินค้า</v>
      </c>
      <c r="AN5" s="39">
        <v>10539774</v>
      </c>
      <c r="AO5" s="39" t="s">
        <v>2214</v>
      </c>
      <c r="AP5" s="39" t="s">
        <v>102</v>
      </c>
      <c r="AS5">
        <v>10680946</v>
      </c>
      <c r="AT5" t="s">
        <v>2196</v>
      </c>
      <c r="AW5">
        <v>10606803</v>
      </c>
      <c r="AX5" t="s">
        <v>610</v>
      </c>
      <c r="BA5">
        <v>10510242</v>
      </c>
      <c r="BB5" t="s">
        <v>934</v>
      </c>
      <c r="BC5" t="s">
        <v>84</v>
      </c>
      <c r="BE5" t="s">
        <v>2215</v>
      </c>
      <c r="BF5" s="10" t="s">
        <v>2197</v>
      </c>
      <c r="BI5">
        <v>10503739</v>
      </c>
      <c r="BJ5" s="10" t="s">
        <v>1448</v>
      </c>
      <c r="BK5" s="10" t="s">
        <v>84</v>
      </c>
      <c r="BL5">
        <v>10659413</v>
      </c>
      <c r="BM5" s="10" t="s">
        <v>1195</v>
      </c>
      <c r="BN5" s="10" t="s">
        <v>212</v>
      </c>
      <c r="BP5" t="s">
        <v>2144</v>
      </c>
      <c r="BQ5" s="10" t="s">
        <v>2199</v>
      </c>
      <c r="BS5" t="s">
        <v>2216</v>
      </c>
      <c r="BT5" s="10" t="s">
        <v>2201</v>
      </c>
      <c r="BW5" t="s">
        <v>2217</v>
      </c>
      <c r="BX5" s="10" t="s">
        <v>2202</v>
      </c>
    </row>
    <row r="6" spans="3:77" ht="23.45">
      <c r="C6">
        <v>10666855</v>
      </c>
      <c r="D6" t="s">
        <v>1166</v>
      </c>
      <c r="H6">
        <v>10659529</v>
      </c>
      <c r="I6" s="10" t="s">
        <v>934</v>
      </c>
      <c r="J6" s="10" t="s">
        <v>91</v>
      </c>
      <c r="L6">
        <v>10656683</v>
      </c>
      <c r="M6" s="10" t="s">
        <v>945</v>
      </c>
      <c r="N6" s="10" t="s">
        <v>84</v>
      </c>
      <c r="O6">
        <v>10680150</v>
      </c>
      <c r="P6" s="10" t="s">
        <v>987</v>
      </c>
      <c r="Q6" s="10" t="s">
        <v>91</v>
      </c>
      <c r="R6">
        <v>10290692</v>
      </c>
      <c r="S6" s="10" t="s">
        <v>1110</v>
      </c>
      <c r="T6" s="10" t="s">
        <v>212</v>
      </c>
      <c r="V6" s="10" t="s">
        <v>59</v>
      </c>
      <c r="X6">
        <v>10550759</v>
      </c>
      <c r="Y6" s="10" t="s">
        <v>1012</v>
      </c>
      <c r="AA6" s="10" t="s">
        <v>76</v>
      </c>
      <c r="AB6" t="str">
        <f>_xlfn.XLOOKUP(X6,'001-EC-HR-HRBP-Job Information '!B:B,'001-EC-HR-HRBP-Job Information '!S:S)</f>
        <v>งานตัดแต่งพิเศษ</v>
      </c>
      <c r="AE6">
        <v>4</v>
      </c>
      <c r="AF6">
        <v>10339980</v>
      </c>
      <c r="AG6" t="s">
        <v>57</v>
      </c>
      <c r="AH6" t="s">
        <v>2218</v>
      </c>
      <c r="AI6" t="s">
        <v>2219</v>
      </c>
      <c r="AJ6" t="str">
        <f>_xlfn.XLOOKUP(AF6,'001-EC-HR-HRBP-Job Information '!B:B,'001-EC-HR-HRBP-Job Information '!S:S,"")</f>
        <v>งานคลังสินค้า</v>
      </c>
      <c r="AN6" s="39">
        <v>10392237</v>
      </c>
      <c r="AO6" s="39" t="s">
        <v>2220</v>
      </c>
      <c r="AP6" s="39" t="s">
        <v>102</v>
      </c>
      <c r="AS6">
        <v>10685996</v>
      </c>
      <c r="AT6" t="s">
        <v>2196</v>
      </c>
      <c r="AW6">
        <v>10604122</v>
      </c>
      <c r="AX6" t="s">
        <v>610</v>
      </c>
      <c r="BA6">
        <v>10410604</v>
      </c>
      <c r="BB6" t="s">
        <v>934</v>
      </c>
      <c r="BC6" t="s">
        <v>58</v>
      </c>
      <c r="BE6" t="s">
        <v>2221</v>
      </c>
      <c r="BF6" s="10" t="s">
        <v>2197</v>
      </c>
      <c r="BI6">
        <v>10635312</v>
      </c>
      <c r="BJ6" s="10" t="s">
        <v>1448</v>
      </c>
      <c r="BK6" s="10" t="s">
        <v>212</v>
      </c>
      <c r="BL6">
        <v>10506554</v>
      </c>
      <c r="BM6" s="10" t="s">
        <v>1195</v>
      </c>
      <c r="BN6" s="10" t="s">
        <v>91</v>
      </c>
      <c r="BP6" t="s">
        <v>2222</v>
      </c>
      <c r="BQ6" s="10" t="s">
        <v>2199</v>
      </c>
      <c r="BS6" t="s">
        <v>2007</v>
      </c>
      <c r="BT6" s="10" t="s">
        <v>2201</v>
      </c>
      <c r="BW6" t="s">
        <v>2223</v>
      </c>
      <c r="BX6" s="10" t="s">
        <v>2202</v>
      </c>
    </row>
    <row r="7" spans="3:77" ht="23.45">
      <c r="C7">
        <v>10668111</v>
      </c>
      <c r="D7" t="s">
        <v>1166</v>
      </c>
      <c r="H7">
        <v>10606791</v>
      </c>
      <c r="I7" s="10" t="s">
        <v>934</v>
      </c>
      <c r="J7" s="10" t="s">
        <v>69</v>
      </c>
      <c r="L7">
        <v>10511854</v>
      </c>
      <c r="M7" s="10" t="s">
        <v>945</v>
      </c>
      <c r="N7" s="10" t="s">
        <v>76</v>
      </c>
      <c r="O7">
        <v>10685891</v>
      </c>
      <c r="P7" s="10" t="s">
        <v>987</v>
      </c>
      <c r="Q7" s="10" t="s">
        <v>76</v>
      </c>
      <c r="R7">
        <v>10643191</v>
      </c>
      <c r="S7" s="10" t="s">
        <v>1110</v>
      </c>
      <c r="T7" s="10" t="s">
        <v>91</v>
      </c>
      <c r="V7" s="10" t="s">
        <v>59</v>
      </c>
      <c r="X7">
        <v>10627576</v>
      </c>
      <c r="Y7" s="10" t="s">
        <v>1012</v>
      </c>
      <c r="AA7" s="10" t="s">
        <v>91</v>
      </c>
      <c r="AB7" t="str">
        <f>_xlfn.XLOOKUP(X7,'001-EC-HR-HRBP-Job Information '!B:B,'001-EC-HR-HRBP-Job Information '!S:S)</f>
        <v>งานตัดแต่งพิเศษ</v>
      </c>
      <c r="AE7">
        <v>5</v>
      </c>
      <c r="AF7">
        <v>10393693</v>
      </c>
      <c r="AG7" t="s">
        <v>57</v>
      </c>
      <c r="AH7" t="s">
        <v>2224</v>
      </c>
      <c r="AI7" t="s">
        <v>2207</v>
      </c>
      <c r="AJ7" t="str">
        <f>_xlfn.XLOOKUP(AF7,'001-EC-HR-HRBP-Job Information '!B:B,'001-EC-HR-HRBP-Job Information '!S:S,"")</f>
        <v>งานคลังสินค้า</v>
      </c>
      <c r="AN7" s="39">
        <v>10680550</v>
      </c>
      <c r="AO7" s="39" t="s">
        <v>2140</v>
      </c>
      <c r="AP7" s="39" t="s">
        <v>2225</v>
      </c>
      <c r="AS7">
        <v>10659600</v>
      </c>
      <c r="AT7" t="s">
        <v>2196</v>
      </c>
      <c r="AW7">
        <v>10680161</v>
      </c>
      <c r="AX7" t="s">
        <v>610</v>
      </c>
      <c r="BA7">
        <v>10659529</v>
      </c>
      <c r="BB7" t="s">
        <v>934</v>
      </c>
      <c r="BC7" t="s">
        <v>91</v>
      </c>
      <c r="BE7" t="s">
        <v>2017</v>
      </c>
      <c r="BF7" s="10" t="s">
        <v>2197</v>
      </c>
      <c r="BI7">
        <v>10653664</v>
      </c>
      <c r="BJ7" s="10" t="s">
        <v>1448</v>
      </c>
      <c r="BK7" s="10" t="s">
        <v>84</v>
      </c>
      <c r="BL7">
        <v>10659414</v>
      </c>
      <c r="BM7" s="10" t="s">
        <v>1195</v>
      </c>
      <c r="BN7" s="10" t="s">
        <v>84</v>
      </c>
      <c r="BP7" t="s">
        <v>2226</v>
      </c>
      <c r="BQ7" s="10" t="s">
        <v>2199</v>
      </c>
      <c r="BS7" t="s">
        <v>2132</v>
      </c>
      <c r="BT7" s="10" t="s">
        <v>2201</v>
      </c>
      <c r="BW7" t="s">
        <v>2227</v>
      </c>
      <c r="BX7" s="10" t="s">
        <v>2202</v>
      </c>
    </row>
    <row r="8" spans="3:77" ht="23.45">
      <c r="C8">
        <v>10668189</v>
      </c>
      <c r="D8" t="s">
        <v>1166</v>
      </c>
      <c r="H8">
        <v>10659516</v>
      </c>
      <c r="I8" s="10" t="s">
        <v>934</v>
      </c>
      <c r="J8" s="10" t="s">
        <v>84</v>
      </c>
      <c r="L8">
        <v>10646376</v>
      </c>
      <c r="M8" s="10" t="s">
        <v>945</v>
      </c>
      <c r="N8" s="10" t="s">
        <v>58</v>
      </c>
      <c r="O8">
        <v>10695580</v>
      </c>
      <c r="P8" s="10" t="s">
        <v>987</v>
      </c>
      <c r="Q8" s="10" t="s">
        <v>58</v>
      </c>
      <c r="R8">
        <v>10668106</v>
      </c>
      <c r="S8" s="10" t="s">
        <v>1110</v>
      </c>
      <c r="T8" s="10" t="s">
        <v>138</v>
      </c>
      <c r="V8" s="10" t="s">
        <v>59</v>
      </c>
      <c r="X8">
        <v>10661918</v>
      </c>
      <c r="Y8" s="10" t="s">
        <v>1012</v>
      </c>
      <c r="AA8" s="10" t="s">
        <v>91</v>
      </c>
      <c r="AB8" t="str">
        <f>_xlfn.XLOOKUP(X8,'001-EC-HR-HRBP-Job Information '!B:B,'001-EC-HR-HRBP-Job Information '!S:S)</f>
        <v>งานตัดแต่งพิเศษ</v>
      </c>
      <c r="AE8">
        <v>6</v>
      </c>
      <c r="AF8">
        <v>10386416</v>
      </c>
      <c r="AG8" t="s">
        <v>57</v>
      </c>
      <c r="AH8" t="s">
        <v>2228</v>
      </c>
      <c r="AI8" t="s">
        <v>2229</v>
      </c>
      <c r="AJ8" t="str">
        <f>_xlfn.XLOOKUP(AF8,'001-EC-HR-HRBP-Job Information '!B:B,'001-EC-HR-HRBP-Job Information '!S:S,"")</f>
        <v>งานคลังสินค้า</v>
      </c>
      <c r="AN8" s="39">
        <v>10558894</v>
      </c>
      <c r="AO8" s="39" t="s">
        <v>2230</v>
      </c>
      <c r="AP8" s="39" t="s">
        <v>2209</v>
      </c>
      <c r="AS8">
        <v>10546592</v>
      </c>
      <c r="AT8" t="s">
        <v>2196</v>
      </c>
      <c r="AW8">
        <v>10680559</v>
      </c>
      <c r="AX8" t="s">
        <v>610</v>
      </c>
      <c r="BA8">
        <v>10606791</v>
      </c>
      <c r="BB8" t="s">
        <v>934</v>
      </c>
      <c r="BC8" t="s">
        <v>69</v>
      </c>
      <c r="BE8" t="s">
        <v>2064</v>
      </c>
      <c r="BF8" s="10" t="s">
        <v>2197</v>
      </c>
      <c r="BI8">
        <v>10572347</v>
      </c>
      <c r="BJ8" s="10" t="s">
        <v>1448</v>
      </c>
      <c r="BK8" s="10" t="s">
        <v>212</v>
      </c>
      <c r="BL8">
        <v>10621544</v>
      </c>
      <c r="BM8" s="10" t="s">
        <v>1195</v>
      </c>
      <c r="BN8" s="10" t="s">
        <v>91</v>
      </c>
      <c r="BP8" t="s">
        <v>2231</v>
      </c>
      <c r="BQ8" s="10" t="s">
        <v>2199</v>
      </c>
      <c r="BS8" t="s">
        <v>2142</v>
      </c>
      <c r="BT8" s="10" t="s">
        <v>2201</v>
      </c>
      <c r="BW8" t="s">
        <v>2232</v>
      </c>
      <c r="BX8" s="10" t="s">
        <v>2202</v>
      </c>
    </row>
    <row r="9" spans="3:77" ht="23.45">
      <c r="C9">
        <v>10668259</v>
      </c>
      <c r="D9" t="s">
        <v>1166</v>
      </c>
      <c r="H9">
        <v>10667006</v>
      </c>
      <c r="I9" s="10" t="s">
        <v>934</v>
      </c>
      <c r="J9" s="10" t="s">
        <v>138</v>
      </c>
      <c r="L9">
        <v>10668118</v>
      </c>
      <c r="M9" s="10" t="s">
        <v>945</v>
      </c>
      <c r="N9" s="10" t="s">
        <v>91</v>
      </c>
      <c r="R9">
        <v>10429682</v>
      </c>
      <c r="S9" s="10" t="s">
        <v>1110</v>
      </c>
      <c r="T9" s="10" t="s">
        <v>58</v>
      </c>
      <c r="V9" s="10" t="s">
        <v>59</v>
      </c>
      <c r="X9">
        <v>10661966</v>
      </c>
      <c r="Y9" s="10" t="s">
        <v>1012</v>
      </c>
      <c r="AA9" s="10" t="s">
        <v>212</v>
      </c>
      <c r="AB9" t="str">
        <f>_xlfn.XLOOKUP(X9,'001-EC-HR-HRBP-Job Information '!B:B,'001-EC-HR-HRBP-Job Information '!S:S)</f>
        <v>งานตัดแต่งพิเศษ</v>
      </c>
      <c r="AE9">
        <v>7</v>
      </c>
      <c r="AF9">
        <v>10558877</v>
      </c>
      <c r="AG9" t="s">
        <v>57</v>
      </c>
      <c r="AH9" t="s">
        <v>2233</v>
      </c>
      <c r="AI9" t="s">
        <v>2234</v>
      </c>
      <c r="AJ9" t="str">
        <f>_xlfn.XLOOKUP(AF9,'001-EC-HR-HRBP-Job Information '!B:B,'001-EC-HR-HRBP-Job Information '!S:S,"")</f>
        <v>งานคลังสินค้า</v>
      </c>
      <c r="AN9" s="41">
        <v>10621537</v>
      </c>
      <c r="AO9" s="41" t="s">
        <v>2235</v>
      </c>
      <c r="AP9" s="41" t="s">
        <v>102</v>
      </c>
      <c r="AS9">
        <v>10604067</v>
      </c>
      <c r="AT9" t="s">
        <v>2196</v>
      </c>
      <c r="AW9">
        <v>10681978</v>
      </c>
      <c r="AX9" t="s">
        <v>610</v>
      </c>
      <c r="BA9">
        <v>10659516</v>
      </c>
      <c r="BB9" t="s">
        <v>934</v>
      </c>
      <c r="BC9" t="s">
        <v>84</v>
      </c>
      <c r="BE9" t="s">
        <v>2236</v>
      </c>
      <c r="BF9" s="10" t="s">
        <v>2237</v>
      </c>
      <c r="BI9">
        <v>10656647</v>
      </c>
      <c r="BJ9" s="10" t="s">
        <v>1448</v>
      </c>
      <c r="BK9" s="10" t="s">
        <v>91</v>
      </c>
      <c r="BL9">
        <v>10656693</v>
      </c>
      <c r="BM9" s="10" t="s">
        <v>1195</v>
      </c>
      <c r="BN9" s="10" t="s">
        <v>76</v>
      </c>
      <c r="BP9" t="s">
        <v>2238</v>
      </c>
      <c r="BQ9" s="10" t="s">
        <v>2199</v>
      </c>
      <c r="BS9" t="s">
        <v>2239</v>
      </c>
      <c r="BT9" s="10" t="s">
        <v>2201</v>
      </c>
      <c r="BW9" t="s">
        <v>2240</v>
      </c>
      <c r="BX9" s="10" t="s">
        <v>2202</v>
      </c>
    </row>
    <row r="10" spans="3:77" ht="23.45">
      <c r="C10">
        <v>10668269</v>
      </c>
      <c r="D10" t="s">
        <v>1166</v>
      </c>
      <c r="H10">
        <v>10666827</v>
      </c>
      <c r="I10" s="10" t="s">
        <v>934</v>
      </c>
      <c r="J10" s="10" t="s">
        <v>76</v>
      </c>
      <c r="L10">
        <v>10668170</v>
      </c>
      <c r="M10" s="10" t="s">
        <v>945</v>
      </c>
      <c r="N10" s="10" t="s">
        <v>212</v>
      </c>
      <c r="R10">
        <v>10572344</v>
      </c>
      <c r="S10" s="10" t="s">
        <v>1110</v>
      </c>
      <c r="T10" s="10" t="s">
        <v>69</v>
      </c>
      <c r="V10" s="10" t="s">
        <v>59</v>
      </c>
      <c r="X10">
        <v>10662725</v>
      </c>
      <c r="Y10" s="10" t="s">
        <v>1012</v>
      </c>
      <c r="AA10" s="10" t="s">
        <v>58</v>
      </c>
      <c r="AB10" t="str">
        <f>_xlfn.XLOOKUP(X10,'001-EC-HR-HRBP-Job Information '!B:B,'001-EC-HR-HRBP-Job Information '!S:S)</f>
        <v>งานตัดแต่งพิเศษ</v>
      </c>
      <c r="AE10">
        <v>8</v>
      </c>
      <c r="AF10">
        <v>10341299</v>
      </c>
      <c r="AG10" t="s">
        <v>364</v>
      </c>
      <c r="AH10" t="s">
        <v>2241</v>
      </c>
      <c r="AI10" t="s">
        <v>2242</v>
      </c>
      <c r="AJ10" t="str">
        <f>_xlfn.XLOOKUP(AF10,'001-EC-HR-HRBP-Job Information '!B:B,'001-EC-HR-HRBP-Job Information '!S:S,"")</f>
        <v>งานคลังสินค้า</v>
      </c>
      <c r="AN10" s="41">
        <v>10392242</v>
      </c>
      <c r="AO10" s="41" t="s">
        <v>2243</v>
      </c>
      <c r="AP10" s="41" t="s">
        <v>102</v>
      </c>
      <c r="AS10">
        <v>10691696</v>
      </c>
      <c r="AT10" t="s">
        <v>2196</v>
      </c>
      <c r="AW10">
        <v>10688411</v>
      </c>
      <c r="AX10" t="s">
        <v>610</v>
      </c>
      <c r="BA10">
        <v>10667006</v>
      </c>
      <c r="BB10" t="s">
        <v>934</v>
      </c>
      <c r="BC10" t="s">
        <v>138</v>
      </c>
      <c r="BE10" t="s">
        <v>2244</v>
      </c>
      <c r="BF10" s="10" t="s">
        <v>2237</v>
      </c>
      <c r="BI10">
        <v>10659431</v>
      </c>
      <c r="BJ10" s="10" t="s">
        <v>1448</v>
      </c>
      <c r="BK10" s="10" t="s">
        <v>138</v>
      </c>
      <c r="BL10">
        <v>10546803</v>
      </c>
      <c r="BM10" s="10" t="s">
        <v>1195</v>
      </c>
      <c r="BN10" s="10" t="s">
        <v>138</v>
      </c>
      <c r="BP10" t="s">
        <v>2245</v>
      </c>
      <c r="BQ10" s="10" t="s">
        <v>2199</v>
      </c>
      <c r="BS10" t="s">
        <v>2165</v>
      </c>
      <c r="BT10" s="10" t="s">
        <v>2201</v>
      </c>
      <c r="BW10" t="s">
        <v>2026</v>
      </c>
      <c r="BX10" s="10" t="s">
        <v>2202</v>
      </c>
    </row>
    <row r="11" spans="3:77" ht="23.45">
      <c r="C11">
        <v>10668132</v>
      </c>
      <c r="D11" t="s">
        <v>1166</v>
      </c>
      <c r="H11">
        <v>10668237</v>
      </c>
      <c r="I11" s="10" t="s">
        <v>934</v>
      </c>
      <c r="J11" s="10" t="s">
        <v>58</v>
      </c>
      <c r="L11">
        <v>10643202</v>
      </c>
      <c r="M11" s="10" t="s">
        <v>945</v>
      </c>
      <c r="N11" s="10" t="s">
        <v>91</v>
      </c>
      <c r="R11">
        <v>10425241</v>
      </c>
      <c r="S11" s="10" t="s">
        <v>1110</v>
      </c>
      <c r="T11" s="10" t="s">
        <v>138</v>
      </c>
      <c r="V11" s="10" t="s">
        <v>59</v>
      </c>
      <c r="X11">
        <v>10662755</v>
      </c>
      <c r="Y11" s="10" t="s">
        <v>1012</v>
      </c>
      <c r="AA11" s="10" t="s">
        <v>58</v>
      </c>
      <c r="AB11" t="str">
        <f>_xlfn.XLOOKUP(X11,'001-EC-HR-HRBP-Job Information '!B:B,'001-EC-HR-HRBP-Job Information '!S:S)</f>
        <v>งานตัดแต่งพิเศษ</v>
      </c>
      <c r="AE11">
        <v>9</v>
      </c>
      <c r="AF11">
        <v>10400674</v>
      </c>
      <c r="AG11" t="s">
        <v>364</v>
      </c>
      <c r="AH11" t="s">
        <v>2246</v>
      </c>
      <c r="AI11" t="s">
        <v>2229</v>
      </c>
      <c r="AJ11" t="str">
        <f>_xlfn.XLOOKUP(AF11,'001-EC-HR-HRBP-Job Information '!B:B,'001-EC-HR-HRBP-Job Information '!S:S,"")</f>
        <v>งานคลังสินค้า</v>
      </c>
      <c r="AN11" s="41">
        <v>10590628</v>
      </c>
      <c r="AO11" s="41" t="s">
        <v>2247</v>
      </c>
      <c r="AP11" s="41" t="s">
        <v>2248</v>
      </c>
      <c r="AS11">
        <v>10691699</v>
      </c>
      <c r="AT11" t="s">
        <v>2196</v>
      </c>
      <c r="AW11">
        <v>10691704</v>
      </c>
      <c r="AX11" t="s">
        <v>610</v>
      </c>
      <c r="BA11">
        <v>10666827</v>
      </c>
      <c r="BB11" t="s">
        <v>934</v>
      </c>
      <c r="BC11" t="s">
        <v>76</v>
      </c>
      <c r="BE11" t="s">
        <v>2249</v>
      </c>
      <c r="BF11" s="10" t="s">
        <v>2237</v>
      </c>
      <c r="BI11">
        <v>10652122</v>
      </c>
      <c r="BJ11" s="10" t="s">
        <v>1448</v>
      </c>
      <c r="BK11" s="10" t="s">
        <v>91</v>
      </c>
      <c r="BL11">
        <v>10546756</v>
      </c>
      <c r="BM11" s="10" t="s">
        <v>1195</v>
      </c>
      <c r="BN11" s="10" t="s">
        <v>138</v>
      </c>
      <c r="BP11" t="s">
        <v>2250</v>
      </c>
      <c r="BQ11" s="10" t="s">
        <v>2199</v>
      </c>
      <c r="BS11" t="s">
        <v>2251</v>
      </c>
      <c r="BT11" s="10" t="s">
        <v>2201</v>
      </c>
      <c r="BW11" t="s">
        <v>2252</v>
      </c>
      <c r="BX11" s="10" t="s">
        <v>2202</v>
      </c>
    </row>
    <row r="12" spans="3:77" ht="23.45">
      <c r="C12">
        <v>10685866</v>
      </c>
      <c r="D12" t="s">
        <v>1166</v>
      </c>
      <c r="H12">
        <v>10668211</v>
      </c>
      <c r="I12" s="10" t="s">
        <v>934</v>
      </c>
      <c r="J12" s="10" t="s">
        <v>76</v>
      </c>
      <c r="R12">
        <v>10661955</v>
      </c>
      <c r="S12" s="10" t="s">
        <v>1110</v>
      </c>
      <c r="T12" s="10" t="s">
        <v>212</v>
      </c>
      <c r="V12" s="10" t="s">
        <v>59</v>
      </c>
      <c r="X12">
        <v>10664048</v>
      </c>
      <c r="Y12" s="10" t="s">
        <v>1012</v>
      </c>
      <c r="AA12" s="10" t="s">
        <v>76</v>
      </c>
      <c r="AB12" t="str">
        <f>_xlfn.XLOOKUP(X12,'001-EC-HR-HRBP-Job Information '!B:B,'001-EC-HR-HRBP-Job Information '!S:S)</f>
        <v>งานตัดแต่งพิเศษ</v>
      </c>
      <c r="AE12">
        <v>10</v>
      </c>
      <c r="AF12">
        <v>10412335</v>
      </c>
      <c r="AG12" t="s">
        <v>364</v>
      </c>
      <c r="AH12" t="s">
        <v>2253</v>
      </c>
      <c r="AI12" t="s">
        <v>2234</v>
      </c>
      <c r="AJ12" t="str">
        <f>_xlfn.XLOOKUP(AF12,'001-EC-HR-HRBP-Job Information '!B:B,'001-EC-HR-HRBP-Job Information '!S:S,"")</f>
        <v>งานคลังสินค้า</v>
      </c>
      <c r="AN12" s="40">
        <v>10688343</v>
      </c>
      <c r="AO12" s="40" t="s">
        <v>2254</v>
      </c>
      <c r="AP12" s="40" t="s">
        <v>2255</v>
      </c>
      <c r="AS12">
        <v>10417544</v>
      </c>
      <c r="AT12" t="s">
        <v>2196</v>
      </c>
      <c r="AW12">
        <v>10691693</v>
      </c>
      <c r="AX12" t="s">
        <v>610</v>
      </c>
      <c r="BA12">
        <v>10668237</v>
      </c>
      <c r="BB12" t="s">
        <v>934</v>
      </c>
      <c r="BC12" t="s">
        <v>58</v>
      </c>
      <c r="BE12" t="s">
        <v>2161</v>
      </c>
      <c r="BF12" s="10" t="s">
        <v>2237</v>
      </c>
      <c r="BI12">
        <v>10660684</v>
      </c>
      <c r="BJ12" s="10" t="s">
        <v>1448</v>
      </c>
      <c r="BK12" s="10" t="s">
        <v>69</v>
      </c>
      <c r="BL12">
        <v>10604117</v>
      </c>
      <c r="BM12" s="10" t="s">
        <v>1195</v>
      </c>
      <c r="BN12" s="10" t="s">
        <v>76</v>
      </c>
      <c r="BP12" t="s">
        <v>1935</v>
      </c>
      <c r="BQ12" s="10" t="s">
        <v>2199</v>
      </c>
      <c r="BS12" t="s">
        <v>2256</v>
      </c>
      <c r="BT12" s="10" t="s">
        <v>2201</v>
      </c>
      <c r="BW12" t="s">
        <v>2257</v>
      </c>
      <c r="BX12" s="10" t="s">
        <v>2202</v>
      </c>
    </row>
    <row r="13" spans="3:77" ht="23.45">
      <c r="C13">
        <v>10685901</v>
      </c>
      <c r="D13" t="s">
        <v>1166</v>
      </c>
      <c r="H13">
        <v>10675928</v>
      </c>
      <c r="I13" s="10" t="s">
        <v>934</v>
      </c>
      <c r="J13" s="10" t="s">
        <v>69</v>
      </c>
      <c r="R13">
        <v>10685880</v>
      </c>
      <c r="S13" s="10" t="s">
        <v>1110</v>
      </c>
      <c r="T13" s="10" t="s">
        <v>76</v>
      </c>
      <c r="U13" t="s">
        <v>993</v>
      </c>
      <c r="V13" s="10" t="s">
        <v>59</v>
      </c>
      <c r="X13">
        <v>10668218</v>
      </c>
      <c r="Y13" s="10" t="s">
        <v>1012</v>
      </c>
      <c r="AA13" s="10" t="s">
        <v>69</v>
      </c>
      <c r="AB13" t="str">
        <f>_xlfn.XLOOKUP(X13,'001-EC-HR-HRBP-Job Information '!B:B,'001-EC-HR-HRBP-Job Information '!S:S)</f>
        <v>งานตัดแต่งพิเศษ</v>
      </c>
      <c r="AE13">
        <v>11</v>
      </c>
      <c r="AF13">
        <v>10641165</v>
      </c>
      <c r="AG13" t="s">
        <v>364</v>
      </c>
      <c r="AH13" t="s">
        <v>2258</v>
      </c>
      <c r="AI13" t="s">
        <v>2219</v>
      </c>
      <c r="AJ13" t="str">
        <f>_xlfn.XLOOKUP(AF13,'001-EC-HR-HRBP-Job Information '!B:B,'001-EC-HR-HRBP-Job Information '!S:S,"")</f>
        <v>งานคลังสินค้า</v>
      </c>
      <c r="AN13" s="40">
        <v>10688526</v>
      </c>
      <c r="AO13" s="40" t="s">
        <v>2259</v>
      </c>
      <c r="AP13" s="40" t="s">
        <v>2260</v>
      </c>
      <c r="AS13">
        <v>10656584</v>
      </c>
      <c r="AT13" t="s">
        <v>2196</v>
      </c>
      <c r="BA13">
        <v>10668211</v>
      </c>
      <c r="BB13" t="s">
        <v>934</v>
      </c>
      <c r="BC13" t="s">
        <v>76</v>
      </c>
      <c r="BE13" t="s">
        <v>2261</v>
      </c>
      <c r="BF13" s="10" t="s">
        <v>2237</v>
      </c>
      <c r="BI13">
        <v>10666845</v>
      </c>
      <c r="BJ13" s="10" t="s">
        <v>1448</v>
      </c>
      <c r="BK13" s="10" t="s">
        <v>76</v>
      </c>
      <c r="BL13">
        <v>10666798</v>
      </c>
      <c r="BM13" s="10" t="s">
        <v>1195</v>
      </c>
      <c r="BN13" s="10" t="s">
        <v>84</v>
      </c>
      <c r="BP13" t="s">
        <v>2262</v>
      </c>
      <c r="BQ13" s="10" t="s">
        <v>2263</v>
      </c>
      <c r="BS13" t="s">
        <v>2264</v>
      </c>
      <c r="BT13" s="10" t="s">
        <v>2201</v>
      </c>
      <c r="BW13" t="s">
        <v>2265</v>
      </c>
      <c r="BX13" s="10" t="s">
        <v>2266</v>
      </c>
      <c r="BY13" s="10" t="s">
        <v>2267</v>
      </c>
    </row>
    <row r="14" spans="3:77" ht="23.45">
      <c r="C14">
        <v>10685933</v>
      </c>
      <c r="D14" t="s">
        <v>1166</v>
      </c>
      <c r="H14">
        <v>10680434</v>
      </c>
      <c r="I14" s="10" t="s">
        <v>934</v>
      </c>
      <c r="J14" s="10" t="s">
        <v>212</v>
      </c>
      <c r="R14">
        <v>10685921</v>
      </c>
      <c r="S14" s="10" t="s">
        <v>1110</v>
      </c>
      <c r="T14" s="10" t="s">
        <v>84</v>
      </c>
      <c r="V14" s="10" t="s">
        <v>59</v>
      </c>
      <c r="X14">
        <v>10668096</v>
      </c>
      <c r="Y14" s="10" t="s">
        <v>1012</v>
      </c>
      <c r="AA14" s="10" t="s">
        <v>138</v>
      </c>
      <c r="AB14" t="str">
        <f>_xlfn.XLOOKUP(X14,'001-EC-HR-HRBP-Job Information '!B:B,'001-EC-HR-HRBP-Job Information '!S:S)</f>
        <v>งานตัดแต่งพิเศษ</v>
      </c>
      <c r="AE14">
        <v>12</v>
      </c>
      <c r="AF14">
        <v>10643182</v>
      </c>
      <c r="AG14" t="s">
        <v>2268</v>
      </c>
      <c r="AH14" t="s">
        <v>2269</v>
      </c>
      <c r="AI14" t="s">
        <v>2219</v>
      </c>
      <c r="AJ14" t="str">
        <f>_xlfn.XLOOKUP(AF14,'001-EC-HR-HRBP-Job Information '!B:B,'001-EC-HR-HRBP-Job Information '!S:S,"")</f>
        <v>งานคลังสินค้า</v>
      </c>
      <c r="AN14" s="40">
        <v>10641168</v>
      </c>
      <c r="AO14" s="40" t="s">
        <v>2270</v>
      </c>
      <c r="AP14" s="40" t="s">
        <v>2225</v>
      </c>
      <c r="BA14">
        <v>10675928</v>
      </c>
      <c r="BB14" t="s">
        <v>934</v>
      </c>
      <c r="BC14" t="s">
        <v>69</v>
      </c>
      <c r="BE14" t="s">
        <v>2271</v>
      </c>
      <c r="BF14" s="10" t="s">
        <v>2237</v>
      </c>
      <c r="BI14">
        <v>10666852</v>
      </c>
      <c r="BJ14" s="10" t="s">
        <v>1448</v>
      </c>
      <c r="BK14" s="10" t="s">
        <v>212</v>
      </c>
      <c r="BL14" s="10">
        <v>10666837</v>
      </c>
      <c r="BM14" s="10" t="s">
        <v>1195</v>
      </c>
      <c r="BN14" s="10" t="s">
        <v>84</v>
      </c>
      <c r="BP14" t="s">
        <v>1934</v>
      </c>
      <c r="BQ14" s="10" t="s">
        <v>2263</v>
      </c>
      <c r="BS14" t="s">
        <v>2272</v>
      </c>
      <c r="BT14" s="10" t="s">
        <v>2201</v>
      </c>
      <c r="BW14" t="s">
        <v>2000</v>
      </c>
      <c r="BX14" s="10" t="s">
        <v>2266</v>
      </c>
    </row>
    <row r="15" spans="3:77" ht="23.45">
      <c r="C15">
        <v>10617287</v>
      </c>
      <c r="D15" t="s">
        <v>1166</v>
      </c>
      <c r="H15">
        <v>10680448</v>
      </c>
      <c r="I15" s="10" t="s">
        <v>934</v>
      </c>
      <c r="J15" s="10" t="s">
        <v>84</v>
      </c>
      <c r="R15">
        <v>10685918</v>
      </c>
      <c r="S15" s="10" t="s">
        <v>1110</v>
      </c>
      <c r="T15" s="10" t="s">
        <v>91</v>
      </c>
      <c r="V15" s="10" t="s">
        <v>59</v>
      </c>
      <c r="X15">
        <v>10685895</v>
      </c>
      <c r="Y15" s="10" t="s">
        <v>1012</v>
      </c>
      <c r="AA15" s="10" t="s">
        <v>84</v>
      </c>
      <c r="AB15" t="str">
        <f>_xlfn.XLOOKUP(X15,'001-EC-HR-HRBP-Job Information '!B:B,'001-EC-HR-HRBP-Job Information '!S:S)</f>
        <v>งานตัดแต่งพิเศษ</v>
      </c>
      <c r="AE15">
        <v>13</v>
      </c>
      <c r="AF15">
        <v>10417544</v>
      </c>
      <c r="AG15" t="s">
        <v>2268</v>
      </c>
      <c r="AH15" t="s">
        <v>2273</v>
      </c>
      <c r="AI15" t="s">
        <v>2207</v>
      </c>
      <c r="AJ15" t="str">
        <f>_xlfn.XLOOKUP(AF15,'001-EC-HR-HRBP-Job Information '!B:B,'001-EC-HR-HRBP-Job Information '!S:S,"")</f>
        <v>งานคลังสินค้า</v>
      </c>
      <c r="AN15" s="40">
        <v>10569567</v>
      </c>
      <c r="AO15" s="40" t="s">
        <v>2274</v>
      </c>
      <c r="AP15" s="40" t="s">
        <v>1821</v>
      </c>
      <c r="BA15">
        <v>10680434</v>
      </c>
      <c r="BB15" t="s">
        <v>934</v>
      </c>
      <c r="BC15" t="s">
        <v>212</v>
      </c>
      <c r="BE15" t="s">
        <v>2275</v>
      </c>
      <c r="BF15" s="10" t="s">
        <v>2237</v>
      </c>
      <c r="BI15">
        <v>10675888</v>
      </c>
      <c r="BJ15" s="10" t="s">
        <v>1448</v>
      </c>
      <c r="BK15" s="10" t="s">
        <v>69</v>
      </c>
      <c r="BL15" s="10">
        <v>10668124</v>
      </c>
      <c r="BM15" s="10" t="s">
        <v>1195</v>
      </c>
      <c r="BN15" s="10" t="s">
        <v>212</v>
      </c>
      <c r="BP15" t="s">
        <v>2276</v>
      </c>
      <c r="BQ15" s="10" t="s">
        <v>2263</v>
      </c>
      <c r="BS15" t="s">
        <v>2277</v>
      </c>
      <c r="BT15" s="10" t="s">
        <v>2201</v>
      </c>
      <c r="BW15" t="s">
        <v>1999</v>
      </c>
      <c r="BX15" s="10" t="s">
        <v>2266</v>
      </c>
    </row>
    <row r="16" spans="3:77" ht="23.45">
      <c r="H16">
        <v>10680424</v>
      </c>
      <c r="I16" s="10" t="s">
        <v>934</v>
      </c>
      <c r="J16" s="10" t="s">
        <v>91</v>
      </c>
      <c r="X16">
        <v>10685985</v>
      </c>
      <c r="Y16" s="10" t="s">
        <v>1012</v>
      </c>
      <c r="AA16" s="10" t="s">
        <v>69</v>
      </c>
      <c r="AB16" t="str">
        <f>_xlfn.XLOOKUP(X16,'001-EC-HR-HRBP-Job Information '!B:B,'001-EC-HR-HRBP-Job Information '!S:S)</f>
        <v>งานตัดแต่งพิเศษ</v>
      </c>
      <c r="AE16">
        <v>14</v>
      </c>
      <c r="AF16">
        <v>10596679</v>
      </c>
      <c r="AG16" t="s">
        <v>2268</v>
      </c>
      <c r="AH16" t="s">
        <v>2278</v>
      </c>
      <c r="AI16" t="s">
        <v>2242</v>
      </c>
      <c r="AJ16" t="str">
        <f>_xlfn.XLOOKUP(AF16,'001-EC-HR-HRBP-Job Information '!B:B,'001-EC-HR-HRBP-Job Information '!S:S,"")</f>
        <v>งานคลังสินค้า</v>
      </c>
      <c r="AN16" s="40">
        <v>10602863</v>
      </c>
      <c r="AO16" s="40" t="s">
        <v>2279</v>
      </c>
      <c r="AP16" s="40" t="s">
        <v>2209</v>
      </c>
      <c r="BA16">
        <v>10680448</v>
      </c>
      <c r="BB16" t="s">
        <v>934</v>
      </c>
      <c r="BC16" t="s">
        <v>84</v>
      </c>
      <c r="BI16">
        <v>10675910</v>
      </c>
      <c r="BJ16" s="10" t="s">
        <v>1448</v>
      </c>
      <c r="BK16" s="10" t="s">
        <v>91</v>
      </c>
      <c r="BL16" s="10">
        <v>10668201</v>
      </c>
      <c r="BM16" s="10" t="s">
        <v>1195</v>
      </c>
      <c r="BN16" s="10" t="s">
        <v>58</v>
      </c>
      <c r="BP16" t="s">
        <v>2280</v>
      </c>
      <c r="BQ16" s="10" t="s">
        <v>2263</v>
      </c>
      <c r="BS16" t="s">
        <v>1902</v>
      </c>
      <c r="BT16" s="10" t="s">
        <v>2281</v>
      </c>
      <c r="BW16" t="s">
        <v>2282</v>
      </c>
      <c r="BX16" s="10" t="s">
        <v>2266</v>
      </c>
    </row>
    <row r="17" spans="8:76" ht="23.45">
      <c r="H17">
        <v>10660114</v>
      </c>
      <c r="I17" s="10" t="s">
        <v>934</v>
      </c>
      <c r="J17" s="10" t="s">
        <v>58</v>
      </c>
      <c r="X17">
        <v>10695589</v>
      </c>
      <c r="Y17" s="10" t="s">
        <v>1012</v>
      </c>
      <c r="AA17" s="10" t="s">
        <v>91</v>
      </c>
      <c r="AB17" t="str">
        <f>_xlfn.XLOOKUP(X17,'001-EC-HR-HRBP-Job Information '!B:B,'001-EC-HR-HRBP-Job Information '!S:S)</f>
        <v>งานตัดแต่งพิเศษ</v>
      </c>
      <c r="AE17">
        <v>15</v>
      </c>
      <c r="AF17">
        <v>10634220</v>
      </c>
      <c r="AG17" t="s">
        <v>2268</v>
      </c>
      <c r="AH17" t="s">
        <v>2283</v>
      </c>
      <c r="AI17" t="s">
        <v>2234</v>
      </c>
      <c r="AJ17" t="str">
        <f>_xlfn.XLOOKUP(AF17,'001-EC-HR-HRBP-Job Information '!B:B,'001-EC-HR-HRBP-Job Information '!S:S,"")</f>
        <v>งานคลังสินค้า</v>
      </c>
      <c r="AN17" s="39">
        <v>10513272</v>
      </c>
      <c r="AO17" s="39" t="s">
        <v>2284</v>
      </c>
      <c r="AP17" s="39" t="s">
        <v>2285</v>
      </c>
      <c r="BA17">
        <v>10680424</v>
      </c>
      <c r="BB17" t="s">
        <v>934</v>
      </c>
      <c r="BC17" t="s">
        <v>91</v>
      </c>
      <c r="BI17">
        <v>10680567</v>
      </c>
      <c r="BJ17" s="10" t="s">
        <v>1448</v>
      </c>
      <c r="BK17" s="10" t="s">
        <v>138</v>
      </c>
      <c r="BL17" s="10">
        <v>10668228</v>
      </c>
      <c r="BM17" s="10" t="s">
        <v>1195</v>
      </c>
      <c r="BN17" s="10" t="s">
        <v>69</v>
      </c>
      <c r="BP17" t="s">
        <v>2005</v>
      </c>
      <c r="BQ17" s="10" t="s">
        <v>2263</v>
      </c>
      <c r="BS17" t="s">
        <v>1896</v>
      </c>
      <c r="BT17" s="10" t="s">
        <v>2281</v>
      </c>
      <c r="BW17" t="s">
        <v>2286</v>
      </c>
      <c r="BX17" s="10" t="s">
        <v>2266</v>
      </c>
    </row>
    <row r="18" spans="8:76" ht="23.45">
      <c r="AE18">
        <v>16</v>
      </c>
      <c r="AF18">
        <v>10641135</v>
      </c>
      <c r="AG18" t="s">
        <v>2268</v>
      </c>
      <c r="AH18" t="s">
        <v>2287</v>
      </c>
      <c r="AI18" t="s">
        <v>2229</v>
      </c>
      <c r="AJ18" t="str">
        <f>_xlfn.XLOOKUP(AF18,'001-EC-HR-HRBP-Job Information '!B:B,'001-EC-HR-HRBP-Job Information '!S:S,"")</f>
        <v>งานคลังสินค้า</v>
      </c>
      <c r="AN18" s="39">
        <v>10604549</v>
      </c>
      <c r="AO18" s="39" t="s">
        <v>2288</v>
      </c>
      <c r="AP18" s="39" t="s">
        <v>1821</v>
      </c>
      <c r="BA18">
        <v>10660114</v>
      </c>
      <c r="BB18" t="s">
        <v>934</v>
      </c>
      <c r="BC18" t="s">
        <v>58</v>
      </c>
      <c r="BI18">
        <v>10681984</v>
      </c>
      <c r="BJ18" s="10" t="s">
        <v>1448</v>
      </c>
      <c r="BK18" s="10" t="s">
        <v>91</v>
      </c>
      <c r="BL18" s="10">
        <v>10666666</v>
      </c>
      <c r="BM18" s="10" t="s">
        <v>1195</v>
      </c>
      <c r="BN18" s="10" t="s">
        <v>58</v>
      </c>
      <c r="BP18" t="s">
        <v>2289</v>
      </c>
      <c r="BQ18" s="10" t="s">
        <v>2263</v>
      </c>
      <c r="BS18" t="s">
        <v>2004</v>
      </c>
      <c r="BT18" s="10" t="s">
        <v>2281</v>
      </c>
      <c r="BW18" t="s">
        <v>2290</v>
      </c>
      <c r="BX18" s="10" t="s">
        <v>2266</v>
      </c>
    </row>
    <row r="19" spans="8:76" ht="23.45">
      <c r="AE19">
        <v>17</v>
      </c>
      <c r="AF19">
        <v>10652130</v>
      </c>
      <c r="AG19" t="s">
        <v>2268</v>
      </c>
      <c r="AH19" t="s">
        <v>2291</v>
      </c>
      <c r="AI19" t="s">
        <v>2229</v>
      </c>
      <c r="AJ19" t="str">
        <f>_xlfn.XLOOKUP(AF19,'001-EC-HR-HRBP-Job Information '!B:B,'001-EC-HR-HRBP-Job Information '!S:S,"")</f>
        <v>งานคลังสินค้า</v>
      </c>
      <c r="AN19" s="39">
        <v>10540523</v>
      </c>
      <c r="AO19" s="39" t="s">
        <v>2292</v>
      </c>
      <c r="AP19" s="39" t="s">
        <v>2209</v>
      </c>
      <c r="BI19">
        <v>10685959</v>
      </c>
      <c r="BJ19" s="10" t="s">
        <v>1448</v>
      </c>
      <c r="BK19" s="10" t="s">
        <v>69</v>
      </c>
      <c r="BL19" s="10">
        <v>10688403</v>
      </c>
      <c r="BM19" s="10" t="s">
        <v>1195</v>
      </c>
      <c r="BN19" s="10" t="s">
        <v>138</v>
      </c>
      <c r="BP19" t="s">
        <v>2293</v>
      </c>
      <c r="BQ19" s="10" t="s">
        <v>2263</v>
      </c>
      <c r="BS19" t="s">
        <v>2070</v>
      </c>
      <c r="BT19" s="10" t="s">
        <v>2281</v>
      </c>
      <c r="BW19" t="s">
        <v>2164</v>
      </c>
      <c r="BX19" s="10" t="s">
        <v>2266</v>
      </c>
    </row>
    <row r="20" spans="8:76">
      <c r="AE20">
        <v>18</v>
      </c>
      <c r="AG20" t="s">
        <v>2268</v>
      </c>
      <c r="AH20" t="s">
        <v>2294</v>
      </c>
      <c r="AI20" t="s">
        <v>2295</v>
      </c>
      <c r="AJ20">
        <f>_xlfn.XLOOKUP(AF20,'001-EC-HR-HRBP-Job Information '!B:B,'001-EC-HR-HRBP-Job Information '!S:S,"")</f>
        <v>0</v>
      </c>
      <c r="BI20">
        <v>10691724</v>
      </c>
      <c r="BJ20" s="10" t="s">
        <v>1448</v>
      </c>
      <c r="BK20" s="10" t="s">
        <v>76</v>
      </c>
      <c r="BL20" s="10">
        <v>10660111</v>
      </c>
      <c r="BM20" s="10" t="s">
        <v>1195</v>
      </c>
      <c r="BN20" s="10" t="s">
        <v>58</v>
      </c>
      <c r="BP20" t="s">
        <v>2097</v>
      </c>
      <c r="BQ20" s="10" t="s">
        <v>2263</v>
      </c>
      <c r="BS20" t="s">
        <v>2296</v>
      </c>
      <c r="BT20" s="10" t="s">
        <v>2281</v>
      </c>
      <c r="BW20" t="s">
        <v>2297</v>
      </c>
      <c r="BX20" s="10" t="s">
        <v>2266</v>
      </c>
    </row>
    <row r="21" spans="8:76">
      <c r="AE21">
        <v>19</v>
      </c>
      <c r="AF21">
        <v>10653715</v>
      </c>
      <c r="AG21" t="s">
        <v>2268</v>
      </c>
      <c r="AH21" t="s">
        <v>2298</v>
      </c>
      <c r="AI21" t="s">
        <v>2242</v>
      </c>
      <c r="AJ21" t="str">
        <f>_xlfn.XLOOKUP(AF21,'001-EC-HR-HRBP-Job Information '!B:B,'001-EC-HR-HRBP-Job Information '!S:S,"")</f>
        <v>งานคลังสินค้า</v>
      </c>
      <c r="BP21" t="s">
        <v>1912</v>
      </c>
      <c r="BQ21" s="10" t="s">
        <v>2263</v>
      </c>
      <c r="BS21" t="s">
        <v>2138</v>
      </c>
      <c r="BT21" s="10" t="s">
        <v>2281</v>
      </c>
      <c r="BW21" t="s">
        <v>2299</v>
      </c>
      <c r="BX21" s="10" t="s">
        <v>2266</v>
      </c>
    </row>
    <row r="22" spans="8:76">
      <c r="AE22">
        <v>20</v>
      </c>
      <c r="AF22" t="s">
        <v>143</v>
      </c>
      <c r="AG22" t="s">
        <v>2268</v>
      </c>
      <c r="AH22" t="s">
        <v>2300</v>
      </c>
      <c r="AI22" t="s">
        <v>2295</v>
      </c>
      <c r="AJ22" t="str">
        <f>_xlfn.XLOOKUP(AF22,'001-EC-HR-HRBP-Job Information '!B:B,'001-EC-HR-HRBP-Job Information '!S:S,"")</f>
        <v>งานคลังสินค้า</v>
      </c>
      <c r="BP22" t="s">
        <v>2301</v>
      </c>
      <c r="BQ22" s="10" t="s">
        <v>2263</v>
      </c>
      <c r="BS22" t="s">
        <v>2302</v>
      </c>
      <c r="BT22" s="10" t="s">
        <v>2281</v>
      </c>
      <c r="BW22" t="s">
        <v>2303</v>
      </c>
      <c r="BX22" s="10" t="s">
        <v>2266</v>
      </c>
    </row>
    <row r="23" spans="8:76">
      <c r="AE23">
        <v>21</v>
      </c>
      <c r="AF23">
        <v>10400670</v>
      </c>
      <c r="AG23" t="s">
        <v>2304</v>
      </c>
      <c r="AH23" t="s">
        <v>2305</v>
      </c>
      <c r="AI23" t="s">
        <v>2229</v>
      </c>
      <c r="AJ23" t="str">
        <f>_xlfn.XLOOKUP(AF23,'001-EC-HR-HRBP-Job Information '!B:B,'001-EC-HR-HRBP-Job Information '!S:S,"")</f>
        <v>งานคลังสินค้า</v>
      </c>
      <c r="BP23" t="s">
        <v>2306</v>
      </c>
      <c r="BQ23" s="10" t="s">
        <v>2263</v>
      </c>
      <c r="BS23" t="s">
        <v>675</v>
      </c>
      <c r="BT23" s="10" t="s">
        <v>2281</v>
      </c>
      <c r="BW23" t="s">
        <v>2032</v>
      </c>
      <c r="BX23" s="10" t="s">
        <v>2266</v>
      </c>
    </row>
    <row r="24" spans="8:76">
      <c r="AE24">
        <v>22</v>
      </c>
      <c r="AF24">
        <v>10400672</v>
      </c>
      <c r="AG24" t="s">
        <v>2304</v>
      </c>
      <c r="AH24" t="s">
        <v>2307</v>
      </c>
      <c r="AI24" t="s">
        <v>2229</v>
      </c>
      <c r="AJ24" t="str">
        <f>_xlfn.XLOOKUP(AF24,'001-EC-HR-HRBP-Job Information '!B:B,'001-EC-HR-HRBP-Job Information '!S:S,"")</f>
        <v>งานคลังสินค้า</v>
      </c>
      <c r="BP24" t="s">
        <v>2008</v>
      </c>
      <c r="BQ24" s="10" t="s">
        <v>2263</v>
      </c>
      <c r="BS24" t="s">
        <v>676</v>
      </c>
      <c r="BT24" s="10" t="s">
        <v>2281</v>
      </c>
    </row>
    <row r="25" spans="8:76">
      <c r="AE25">
        <v>23</v>
      </c>
      <c r="AF25">
        <v>10601105</v>
      </c>
      <c r="AG25" t="s">
        <v>2304</v>
      </c>
      <c r="AH25" t="s">
        <v>2308</v>
      </c>
      <c r="AI25" t="s">
        <v>2204</v>
      </c>
      <c r="AJ25" t="str">
        <f>_xlfn.XLOOKUP(AF25,'001-EC-HR-HRBP-Job Information '!B:B,'001-EC-HR-HRBP-Job Information '!S:S,"")</f>
        <v>งานคลังสินค้า</v>
      </c>
      <c r="BP25" t="s">
        <v>2309</v>
      </c>
      <c r="BQ25" s="10" t="s">
        <v>2263</v>
      </c>
      <c r="BS25" t="s">
        <v>677</v>
      </c>
      <c r="BT25" s="10" t="s">
        <v>2281</v>
      </c>
    </row>
    <row r="26" spans="8:76">
      <c r="AE26">
        <v>24</v>
      </c>
      <c r="AF26">
        <v>10545025</v>
      </c>
      <c r="AG26" t="s">
        <v>2304</v>
      </c>
      <c r="AH26" t="s">
        <v>2310</v>
      </c>
      <c r="AI26" t="s">
        <v>2295</v>
      </c>
      <c r="AJ26" t="str">
        <f>_xlfn.XLOOKUP(AF26,'001-EC-HR-HRBP-Job Information '!B:B,'001-EC-HR-HRBP-Job Information '!S:S,"")</f>
        <v>งานคลังสินค้า</v>
      </c>
      <c r="BP26" t="s">
        <v>2311</v>
      </c>
      <c r="BQ26" s="10" t="s">
        <v>2263</v>
      </c>
      <c r="BS26" t="s">
        <v>2312</v>
      </c>
      <c r="BT26" s="10" t="s">
        <v>2281</v>
      </c>
    </row>
    <row r="27" spans="8:76">
      <c r="AE27">
        <v>25</v>
      </c>
      <c r="AF27">
        <v>10567884</v>
      </c>
      <c r="AG27" t="s">
        <v>2304</v>
      </c>
      <c r="AH27" t="s">
        <v>2313</v>
      </c>
      <c r="AI27" t="s">
        <v>2242</v>
      </c>
      <c r="AJ27" t="str">
        <f>_xlfn.XLOOKUP(AF27,'001-EC-HR-HRBP-Job Information '!B:B,'001-EC-HR-HRBP-Job Information '!S:S,"")</f>
        <v>งานคลังสินค้า</v>
      </c>
    </row>
    <row r="28" spans="8:76">
      <c r="AE28">
        <v>26</v>
      </c>
      <c r="AF28">
        <v>10625418</v>
      </c>
      <c r="AG28" t="s">
        <v>2304</v>
      </c>
      <c r="AH28" t="s">
        <v>2314</v>
      </c>
      <c r="AI28" t="s">
        <v>2219</v>
      </c>
      <c r="AJ28" t="str">
        <f>_xlfn.XLOOKUP(AF28,'001-EC-HR-HRBP-Job Information '!B:B,'001-EC-HR-HRBP-Job Information '!S:S,"")</f>
        <v>งานคลังสินค้า</v>
      </c>
    </row>
    <row r="29" spans="8:76">
      <c r="AE29">
        <v>27</v>
      </c>
      <c r="AF29">
        <v>10634228</v>
      </c>
      <c r="AG29" t="s">
        <v>2304</v>
      </c>
      <c r="AH29" t="s">
        <v>2315</v>
      </c>
      <c r="AI29" t="s">
        <v>2234</v>
      </c>
      <c r="AJ29" t="str">
        <f>_xlfn.XLOOKUP(AF29,'001-EC-HR-HRBP-Job Information '!B:B,'001-EC-HR-HRBP-Job Information '!S:S,"")</f>
        <v>งานคลังสินค้า</v>
      </c>
    </row>
    <row r="30" spans="8:76">
      <c r="AE30">
        <v>28</v>
      </c>
      <c r="AF30">
        <v>10664114</v>
      </c>
      <c r="AG30" t="s">
        <v>2304</v>
      </c>
      <c r="AH30" t="s">
        <v>2316</v>
      </c>
      <c r="AI30" t="s">
        <v>2295</v>
      </c>
      <c r="AJ30" t="str">
        <f>_xlfn.XLOOKUP(AF30,'001-EC-HR-HRBP-Job Information '!B:B,'001-EC-HR-HRBP-Job Information '!S:S,"")</f>
        <v>งานคลังสินค้า</v>
      </c>
    </row>
    <row r="31" spans="8:76">
      <c r="AE31">
        <v>29</v>
      </c>
      <c r="AG31" t="s">
        <v>2304</v>
      </c>
      <c r="AH31" t="s">
        <v>2317</v>
      </c>
      <c r="AI31" t="s">
        <v>2234</v>
      </c>
      <c r="AJ31">
        <f>_xlfn.XLOOKUP(AF31,'001-EC-HR-HRBP-Job Information '!B:B,'001-EC-HR-HRBP-Job Information '!S:S,"")</f>
        <v>0</v>
      </c>
    </row>
    <row r="32" spans="8:76">
      <c r="AE32">
        <v>30</v>
      </c>
      <c r="AF32">
        <v>10432003</v>
      </c>
      <c r="AG32" t="s">
        <v>2318</v>
      </c>
      <c r="AH32" t="s">
        <v>2319</v>
      </c>
      <c r="AI32" t="s">
        <v>2234</v>
      </c>
      <c r="AJ32" t="str">
        <f>_xlfn.XLOOKUP(AF32,'001-EC-HR-HRBP-Job Information '!B:B,'001-EC-HR-HRBP-Job Information '!S:S,"")</f>
        <v>งานคลังสินค้า</v>
      </c>
    </row>
    <row r="33" spans="31:36">
      <c r="AE33">
        <v>31</v>
      </c>
      <c r="AF33">
        <v>10619221</v>
      </c>
      <c r="AG33" t="s">
        <v>2318</v>
      </c>
      <c r="AH33" t="s">
        <v>2320</v>
      </c>
      <c r="AI33" t="s">
        <v>2242</v>
      </c>
      <c r="AJ33" t="str">
        <f>_xlfn.XLOOKUP(AF33,'001-EC-HR-HRBP-Job Information '!B:B,'001-EC-HR-HRBP-Job Information '!S:S,"")</f>
        <v>งานคลังสินค้า</v>
      </c>
    </row>
    <row r="34" spans="31:36">
      <c r="AE34">
        <v>32</v>
      </c>
      <c r="AF34">
        <v>10609778</v>
      </c>
      <c r="AG34" t="s">
        <v>2318</v>
      </c>
      <c r="AH34" t="s">
        <v>2321</v>
      </c>
      <c r="AI34" t="s">
        <v>2204</v>
      </c>
      <c r="AJ34" t="str">
        <f>_xlfn.XLOOKUP(AF34,'001-EC-HR-HRBP-Job Information '!B:B,'001-EC-HR-HRBP-Job Information '!S:S,"")</f>
        <v>งานคลังสินค้า</v>
      </c>
    </row>
    <row r="35" spans="31:36">
      <c r="AE35">
        <v>33</v>
      </c>
      <c r="AF35">
        <v>10629908</v>
      </c>
      <c r="AG35" t="s">
        <v>2318</v>
      </c>
      <c r="AH35" t="s">
        <v>2322</v>
      </c>
      <c r="AI35" t="s">
        <v>2219</v>
      </c>
      <c r="AJ35" t="str">
        <f>_xlfn.XLOOKUP(AF35,'001-EC-HR-HRBP-Job Information '!B:B,'001-EC-HR-HRBP-Job Information '!S:S,"")</f>
        <v>งานคลังสินค้า</v>
      </c>
    </row>
    <row r="36" spans="31:36">
      <c r="AE36">
        <v>34</v>
      </c>
      <c r="AF36">
        <v>10639755</v>
      </c>
      <c r="AG36" t="s">
        <v>2318</v>
      </c>
      <c r="AH36" t="s">
        <v>2323</v>
      </c>
      <c r="AI36" t="s">
        <v>2295</v>
      </c>
      <c r="AJ36" t="str">
        <f>_xlfn.XLOOKUP(AF36,'001-EC-HR-HRBP-Job Information '!B:B,'001-EC-HR-HRBP-Job Information '!S:S,"")</f>
        <v>งานคลังสินค้า</v>
      </c>
    </row>
    <row r="37" spans="31:36">
      <c r="AE37">
        <v>35</v>
      </c>
      <c r="AF37">
        <v>10653683</v>
      </c>
      <c r="AG37" t="s">
        <v>2318</v>
      </c>
      <c r="AH37" t="s">
        <v>2324</v>
      </c>
      <c r="AI37" t="s">
        <v>2207</v>
      </c>
      <c r="AJ37" t="str">
        <f>_xlfn.XLOOKUP(AF37,'001-EC-HR-HRBP-Job Information '!B:B,'001-EC-HR-HRBP-Job Information '!S:S,"")</f>
        <v>งานคลังสินค้า</v>
      </c>
    </row>
    <row r="38" spans="31:36">
      <c r="AE38">
        <v>36</v>
      </c>
      <c r="AG38" t="s">
        <v>2318</v>
      </c>
      <c r="AH38" t="s">
        <v>2325</v>
      </c>
      <c r="AI38" t="s">
        <v>2229</v>
      </c>
      <c r="AJ38">
        <f>_xlfn.XLOOKUP(AF38,'001-EC-HR-HRBP-Job Information '!B:B,'001-EC-HR-HRBP-Job Information '!S:S,"")</f>
        <v>0</v>
      </c>
    </row>
    <row r="39" spans="31:36">
      <c r="AE39">
        <v>37</v>
      </c>
      <c r="AF39">
        <v>10606781</v>
      </c>
      <c r="AG39" t="s">
        <v>2318</v>
      </c>
      <c r="AH39" t="s">
        <v>2326</v>
      </c>
      <c r="AI39" t="s">
        <v>2204</v>
      </c>
      <c r="AJ39" t="str">
        <f>_xlfn.XLOOKUP(AF39,'001-EC-HR-HRBP-Job Information '!B:B,'001-EC-HR-HRBP-Job Information '!S:S,"")</f>
        <v>งานคลังสินค้า</v>
      </c>
    </row>
    <row r="40" spans="31:36">
      <c r="AE40">
        <v>38</v>
      </c>
      <c r="AF40">
        <v>10419529</v>
      </c>
      <c r="AG40" t="s">
        <v>2327</v>
      </c>
      <c r="AH40" t="s">
        <v>2328</v>
      </c>
      <c r="AI40" t="s">
        <v>2242</v>
      </c>
      <c r="AJ40" t="str">
        <f>_xlfn.XLOOKUP(AF40,'001-EC-HR-HRBP-Job Information '!B:B,'001-EC-HR-HRBP-Job Information '!S:S,"")</f>
        <v>งานคลังสินค้า</v>
      </c>
    </row>
    <row r="41" spans="31:36">
      <c r="AE41">
        <v>39</v>
      </c>
      <c r="AF41">
        <v>10427898</v>
      </c>
      <c r="AG41" t="s">
        <v>2327</v>
      </c>
      <c r="AH41" t="s">
        <v>2329</v>
      </c>
      <c r="AI41" t="s">
        <v>2242</v>
      </c>
      <c r="AJ41" t="str">
        <f>_xlfn.XLOOKUP(AF41,'001-EC-HR-HRBP-Job Information '!B:B,'001-EC-HR-HRBP-Job Information '!S:S,"")</f>
        <v>งานคลังสินค้า</v>
      </c>
    </row>
    <row r="42" spans="31:36">
      <c r="AE42">
        <v>40</v>
      </c>
      <c r="AF42">
        <v>10303959</v>
      </c>
      <c r="AG42" t="s">
        <v>2327</v>
      </c>
      <c r="AH42" t="s">
        <v>2330</v>
      </c>
      <c r="AI42" t="s">
        <v>2219</v>
      </c>
      <c r="AJ42" t="str">
        <f>_xlfn.XLOOKUP(AF42,'001-EC-HR-HRBP-Job Information '!B:B,'001-EC-HR-HRBP-Job Information '!S:S,"")</f>
        <v>งานคลังสินค้า</v>
      </c>
    </row>
    <row r="43" spans="31:36">
      <c r="AE43">
        <v>41</v>
      </c>
      <c r="AF43">
        <v>10609745</v>
      </c>
      <c r="AG43" t="s">
        <v>2327</v>
      </c>
      <c r="AH43" t="s">
        <v>2331</v>
      </c>
      <c r="AI43" t="s">
        <v>2207</v>
      </c>
      <c r="AJ43" t="str">
        <f>_xlfn.XLOOKUP(AF43,'001-EC-HR-HRBP-Job Information '!B:B,'001-EC-HR-HRBP-Job Information '!S:S,"")</f>
        <v>งานคลังสินค้า</v>
      </c>
    </row>
    <row r="44" spans="31:36">
      <c r="AE44">
        <v>42</v>
      </c>
      <c r="AF44">
        <v>10550631</v>
      </c>
      <c r="AG44" t="s">
        <v>2327</v>
      </c>
      <c r="AH44" t="s">
        <v>2332</v>
      </c>
      <c r="AI44" t="s">
        <v>2207</v>
      </c>
      <c r="AJ44" t="str">
        <f>_xlfn.XLOOKUP(AF44,'001-EC-HR-HRBP-Job Information '!B:B,'001-EC-HR-HRBP-Job Information '!S:S,"")</f>
        <v>งานคลังสินค้า</v>
      </c>
    </row>
    <row r="45" spans="31:36">
      <c r="AE45">
        <v>43</v>
      </c>
      <c r="AF45">
        <v>10625434</v>
      </c>
      <c r="AG45" t="s">
        <v>2327</v>
      </c>
      <c r="AH45" t="s">
        <v>2333</v>
      </c>
      <c r="AJ45" t="str">
        <f>_xlfn.XLOOKUP(AF45,'001-EC-HR-HRBP-Job Information '!B:B,'001-EC-HR-HRBP-Job Information '!S:S,"")</f>
        <v>งานคลังสินค้า</v>
      </c>
    </row>
    <row r="46" spans="31:36">
      <c r="AE46">
        <v>44</v>
      </c>
      <c r="AG46" t="s">
        <v>2327</v>
      </c>
      <c r="AH46" t="s">
        <v>2334</v>
      </c>
      <c r="AI46" t="s">
        <v>2204</v>
      </c>
      <c r="AJ46">
        <f>_xlfn.XLOOKUP(AF46,'001-EC-HR-HRBP-Job Information '!B:B,'001-EC-HR-HRBP-Job Information '!S:S,"")</f>
        <v>0</v>
      </c>
    </row>
    <row r="47" spans="31:36">
      <c r="AE47">
        <v>45</v>
      </c>
      <c r="AF47">
        <v>10658269</v>
      </c>
      <c r="AG47" t="s">
        <v>2327</v>
      </c>
      <c r="AH47" t="s">
        <v>2335</v>
      </c>
      <c r="AI47" t="s">
        <v>2295</v>
      </c>
      <c r="AJ47" t="str">
        <f>_xlfn.XLOOKUP(AF47,'001-EC-HR-HRBP-Job Information '!B:B,'001-EC-HR-HRBP-Job Information '!S:S,"")</f>
        <v>งานคลังสินค้า</v>
      </c>
    </row>
    <row r="48" spans="31:36">
      <c r="AE48">
        <v>46</v>
      </c>
      <c r="AF48">
        <v>10675929</v>
      </c>
      <c r="AG48" t="s">
        <v>2336</v>
      </c>
      <c r="AH48" t="s">
        <v>2337</v>
      </c>
      <c r="AI48" t="s">
        <v>2219</v>
      </c>
      <c r="AJ48" t="str">
        <f>_xlfn.XLOOKUP(AF48,'001-EC-HR-HRBP-Job Information '!B:B,'001-EC-HR-HRBP-Job Information '!S:S,"")</f>
        <v>งานคลังสินค้า</v>
      </c>
    </row>
    <row r="49" spans="31:36">
      <c r="AE49">
        <v>47</v>
      </c>
      <c r="AF49">
        <v>10361541</v>
      </c>
      <c r="AG49" t="s">
        <v>2336</v>
      </c>
      <c r="AH49" t="s">
        <v>2338</v>
      </c>
      <c r="AI49" t="s">
        <v>2204</v>
      </c>
      <c r="AJ49" t="str">
        <f>_xlfn.XLOOKUP(AF49,'001-EC-HR-HRBP-Job Information '!B:B,'001-EC-HR-HRBP-Job Information '!S:S,"")</f>
        <v>งานคลังสินค้า</v>
      </c>
    </row>
    <row r="50" spans="31:36">
      <c r="AE50">
        <v>48</v>
      </c>
      <c r="AF50">
        <v>10676717</v>
      </c>
      <c r="AG50" t="s">
        <v>2336</v>
      </c>
      <c r="AH50" t="s">
        <v>2339</v>
      </c>
      <c r="AI50" t="s">
        <v>2229</v>
      </c>
      <c r="AJ50" t="str">
        <f>_xlfn.XLOOKUP(AF50,'001-EC-HR-HRBP-Job Information '!B:B,'001-EC-HR-HRBP-Job Information '!S:S,"")</f>
        <v>งานคลังสินค้า</v>
      </c>
    </row>
    <row r="51" spans="31:36">
      <c r="AE51">
        <v>49</v>
      </c>
      <c r="AF51">
        <v>10529505</v>
      </c>
      <c r="AG51" t="s">
        <v>2336</v>
      </c>
      <c r="AH51" t="s">
        <v>2340</v>
      </c>
      <c r="AI51" t="s">
        <v>2295</v>
      </c>
      <c r="AJ51" t="str">
        <f>_xlfn.XLOOKUP(AF51,'001-EC-HR-HRBP-Job Information '!B:B,'001-EC-HR-HRBP-Job Information '!S:S,"")</f>
        <v>งานคลังสินค้า</v>
      </c>
    </row>
    <row r="52" spans="31:36">
      <c r="AE52">
        <v>50</v>
      </c>
      <c r="AF52">
        <v>10658211</v>
      </c>
      <c r="AG52" t="s">
        <v>2336</v>
      </c>
      <c r="AH52" t="s">
        <v>2341</v>
      </c>
      <c r="AI52" t="s">
        <v>2229</v>
      </c>
      <c r="AJ52" t="str">
        <f>_xlfn.XLOOKUP(AF52,'001-EC-HR-HRBP-Job Information '!B:B,'001-EC-HR-HRBP-Job Information '!S:S,"")</f>
        <v>งานคลังสินค้า</v>
      </c>
    </row>
    <row r="53" spans="31:36">
      <c r="AE53">
        <v>51</v>
      </c>
      <c r="AF53">
        <v>10412343</v>
      </c>
      <c r="AG53" t="s">
        <v>2342</v>
      </c>
      <c r="AH53" t="s">
        <v>2343</v>
      </c>
      <c r="AI53" t="s">
        <v>2229</v>
      </c>
      <c r="AJ53" t="str">
        <f>_xlfn.XLOOKUP(AF53,'001-EC-HR-HRBP-Job Information '!B:B,'001-EC-HR-HRBP-Job Information '!S:S,"")</f>
        <v>งานคลังสินค้า</v>
      </c>
    </row>
    <row r="54" spans="31:36">
      <c r="AE54">
        <v>52</v>
      </c>
      <c r="AF54">
        <v>10416370</v>
      </c>
      <c r="AG54" t="s">
        <v>2342</v>
      </c>
      <c r="AH54" t="s">
        <v>2344</v>
      </c>
      <c r="AI54" t="s">
        <v>2295</v>
      </c>
      <c r="AJ54" t="str">
        <f>_xlfn.XLOOKUP(AF54,'001-EC-HR-HRBP-Job Information '!B:B,'001-EC-HR-HRBP-Job Information '!S:S,"")</f>
        <v>งานคลังสินค้า</v>
      </c>
    </row>
    <row r="55" spans="31:36">
      <c r="AE55">
        <v>53</v>
      </c>
      <c r="AF55">
        <v>10606797</v>
      </c>
      <c r="AG55" t="s">
        <v>2342</v>
      </c>
      <c r="AH55" t="s">
        <v>2345</v>
      </c>
      <c r="AI55" t="s">
        <v>2219</v>
      </c>
      <c r="AJ55" t="str">
        <f>_xlfn.XLOOKUP(AF55,'001-EC-HR-HRBP-Job Information '!B:B,'001-EC-HR-HRBP-Job Information '!S:S,"")</f>
        <v>งานคลังสินค้า</v>
      </c>
    </row>
    <row r="56" spans="31:36">
      <c r="AE56">
        <v>54</v>
      </c>
      <c r="AF56">
        <v>10529533</v>
      </c>
      <c r="AG56" t="s">
        <v>2342</v>
      </c>
      <c r="AH56" t="s">
        <v>2346</v>
      </c>
      <c r="AI56" t="s">
        <v>2204</v>
      </c>
      <c r="AJ56" t="str">
        <f>_xlfn.XLOOKUP(AF56,'001-EC-HR-HRBP-Job Information '!B:B,'001-EC-HR-HRBP-Job Information '!S:S,"")</f>
        <v>งานคลังสินค้า</v>
      </c>
    </row>
    <row r="57" spans="31:36">
      <c r="AE57">
        <v>55</v>
      </c>
      <c r="AF57">
        <v>10631676</v>
      </c>
      <c r="AG57" t="s">
        <v>2342</v>
      </c>
      <c r="AH57" t="s">
        <v>2347</v>
      </c>
      <c r="AI57" t="s">
        <v>2207</v>
      </c>
      <c r="AJ57" t="str">
        <f>_xlfn.XLOOKUP(AF57,'001-EC-HR-HRBP-Job Information '!B:B,'001-EC-HR-HRBP-Job Information '!S:S,"")</f>
        <v>งานคลังสินค้า</v>
      </c>
    </row>
    <row r="58" spans="31:36">
      <c r="AE58">
        <v>56</v>
      </c>
      <c r="AF58">
        <v>10647098</v>
      </c>
      <c r="AG58" t="s">
        <v>2342</v>
      </c>
      <c r="AH58" t="s">
        <v>2348</v>
      </c>
      <c r="AI58" t="s">
        <v>2242</v>
      </c>
      <c r="AJ58" t="str">
        <f>_xlfn.XLOOKUP(AF58,'001-EC-HR-HRBP-Job Information '!B:B,'001-EC-HR-HRBP-Job Information '!S:S,"")</f>
        <v>งานคลังสินค้า</v>
      </c>
    </row>
    <row r="59" spans="31:36">
      <c r="AE59">
        <v>57</v>
      </c>
      <c r="AF59">
        <v>10658278</v>
      </c>
      <c r="AG59" t="s">
        <v>2342</v>
      </c>
      <c r="AH59" t="s">
        <v>2349</v>
      </c>
      <c r="AI59" t="s">
        <v>2234</v>
      </c>
      <c r="AJ59" t="str">
        <f>_xlfn.XLOOKUP(AF59,'001-EC-HR-HRBP-Job Information '!B:B,'001-EC-HR-HRBP-Job Information '!S:S,"")</f>
        <v>งานคลังสินค้า</v>
      </c>
    </row>
    <row r="60" spans="31:36">
      <c r="AE60">
        <v>58</v>
      </c>
      <c r="AF60">
        <v>10396639</v>
      </c>
      <c r="AG60" t="s">
        <v>2350</v>
      </c>
      <c r="AH60" t="s">
        <v>2351</v>
      </c>
      <c r="AI60" t="s">
        <v>2204</v>
      </c>
      <c r="AJ60" t="str">
        <f>_xlfn.XLOOKUP(AF60,'001-EC-HR-HRBP-Job Information '!B:B,'001-EC-HR-HRBP-Job Information '!S:S,"")</f>
        <v>งานคลังสินค้า</v>
      </c>
    </row>
    <row r="61" spans="31:36">
      <c r="AE61">
        <v>59</v>
      </c>
      <c r="AF61">
        <v>10501486</v>
      </c>
      <c r="AG61" t="s">
        <v>2350</v>
      </c>
      <c r="AH61" t="s">
        <v>2352</v>
      </c>
      <c r="AI61" t="s">
        <v>2234</v>
      </c>
      <c r="AJ61" t="str">
        <f>_xlfn.XLOOKUP(AF61,'001-EC-HR-HRBP-Job Information '!B:B,'001-EC-HR-HRBP-Job Information '!S:S,"")</f>
        <v>งานคลังสินค้า</v>
      </c>
    </row>
    <row r="62" spans="31:36">
      <c r="AE62">
        <v>60</v>
      </c>
      <c r="AF62">
        <v>10548715</v>
      </c>
      <c r="AG62" t="s">
        <v>2350</v>
      </c>
      <c r="AH62" t="s">
        <v>2353</v>
      </c>
      <c r="AI62" t="s">
        <v>2219</v>
      </c>
      <c r="AJ62" t="str">
        <f>_xlfn.XLOOKUP(AF62,'001-EC-HR-HRBP-Job Information '!B:B,'001-EC-HR-HRBP-Job Information '!S:S,"")</f>
        <v>งานคลังสินค้า</v>
      </c>
    </row>
    <row r="63" spans="31:36">
      <c r="AE63">
        <v>61</v>
      </c>
      <c r="AF63">
        <v>10545010</v>
      </c>
      <c r="AG63" t="s">
        <v>2350</v>
      </c>
      <c r="AH63" t="s">
        <v>2354</v>
      </c>
      <c r="AI63" t="s">
        <v>2229</v>
      </c>
      <c r="AJ63" t="str">
        <f>_xlfn.XLOOKUP(AF63,'001-EC-HR-HRBP-Job Information '!B:B,'001-EC-HR-HRBP-Job Information '!S:S,"")</f>
        <v>งานคลังสินค้า</v>
      </c>
    </row>
    <row r="64" spans="31:36">
      <c r="AE64">
        <v>62</v>
      </c>
      <c r="AF64">
        <v>10500484</v>
      </c>
      <c r="AG64" t="s">
        <v>2350</v>
      </c>
      <c r="AH64" t="s">
        <v>2355</v>
      </c>
      <c r="AI64" t="s">
        <v>2242</v>
      </c>
      <c r="AJ64" t="str">
        <f>_xlfn.XLOOKUP(AF64,'001-EC-HR-HRBP-Job Information '!B:B,'001-EC-HR-HRBP-Job Information '!S:S,"")</f>
        <v>งานคลังสินค้า</v>
      </c>
    </row>
    <row r="65" spans="31:36">
      <c r="AE65">
        <v>63</v>
      </c>
      <c r="AF65">
        <v>10664195</v>
      </c>
      <c r="AG65" t="s">
        <v>2350</v>
      </c>
      <c r="AH65" t="s">
        <v>2356</v>
      </c>
      <c r="AI65" t="s">
        <v>2207</v>
      </c>
      <c r="AJ65" t="str">
        <f>_xlfn.XLOOKUP(AF65,'001-EC-HR-HRBP-Job Information '!B:B,'001-EC-HR-HRBP-Job Information '!S:S,"")</f>
        <v>งานคลังสินค้า</v>
      </c>
    </row>
    <row r="66" spans="31:36">
      <c r="AE66">
        <v>64</v>
      </c>
      <c r="AF66">
        <v>10518461</v>
      </c>
      <c r="AG66" t="s">
        <v>2350</v>
      </c>
      <c r="AH66" t="s">
        <v>2357</v>
      </c>
      <c r="AI66" t="s">
        <v>2207</v>
      </c>
      <c r="AJ66" t="str">
        <f>_xlfn.XLOOKUP(AF66,'001-EC-HR-HRBP-Job Information '!B:B,'001-EC-HR-HRBP-Job Information '!S:S,"")</f>
        <v>งานคลังสินค้า</v>
      </c>
    </row>
    <row r="67" spans="31:36">
      <c r="AE67">
        <v>65</v>
      </c>
      <c r="AF67">
        <v>10510959</v>
      </c>
      <c r="AG67" t="s">
        <v>2358</v>
      </c>
      <c r="AH67" t="s">
        <v>2359</v>
      </c>
      <c r="AI67" t="s">
        <v>2234</v>
      </c>
      <c r="AJ67" t="str">
        <f>_xlfn.XLOOKUP(AF67,'001-EC-HR-HRBP-Job Information '!B:B,'001-EC-HR-HRBP-Job Information '!S:S,"")</f>
        <v>งานคลังสินค้า</v>
      </c>
    </row>
    <row r="68" spans="31:36">
      <c r="AE68">
        <v>66</v>
      </c>
      <c r="AF68">
        <v>10653656</v>
      </c>
      <c r="AG68" t="s">
        <v>2358</v>
      </c>
      <c r="AH68" t="s">
        <v>2360</v>
      </c>
      <c r="AI68" t="s">
        <v>2295</v>
      </c>
      <c r="AJ68" t="str">
        <f>_xlfn.XLOOKUP(AF68,'001-EC-HR-HRBP-Job Information '!B:B,'001-EC-HR-HRBP-Job Information '!S:S,"")</f>
        <v>งานคลังสินค้า</v>
      </c>
    </row>
    <row r="69" spans="31:36">
      <c r="AE69">
        <v>67</v>
      </c>
      <c r="AF69">
        <v>10652118</v>
      </c>
      <c r="AG69" t="s">
        <v>2358</v>
      </c>
      <c r="AH69" t="s">
        <v>2361</v>
      </c>
      <c r="AI69" t="s">
        <v>2219</v>
      </c>
      <c r="AJ69" t="str">
        <f>_xlfn.XLOOKUP(AF69,'001-EC-HR-HRBP-Job Information '!B:B,'001-EC-HR-HRBP-Job Information '!S:S,"")</f>
        <v>งานคลังสินค้า</v>
      </c>
    </row>
    <row r="70" spans="31:36">
      <c r="AE70">
        <v>68</v>
      </c>
      <c r="AF70">
        <v>10658400</v>
      </c>
      <c r="AG70" t="s">
        <v>2358</v>
      </c>
      <c r="AH70" t="s">
        <v>2362</v>
      </c>
      <c r="AI70" t="s">
        <v>2229</v>
      </c>
      <c r="AJ70" t="str">
        <f>_xlfn.XLOOKUP(AF70,'001-EC-HR-HRBP-Job Information '!B:B,'001-EC-HR-HRBP-Job Information '!S:S,"")</f>
        <v>งานคลังสินค้า</v>
      </c>
    </row>
    <row r="71" spans="31:36">
      <c r="AE71">
        <v>69</v>
      </c>
      <c r="AG71" t="s">
        <v>2358</v>
      </c>
      <c r="AH71" t="s">
        <v>2363</v>
      </c>
      <c r="AJ71">
        <f>_xlfn.XLOOKUP(AF71,'001-EC-HR-HRBP-Job Information '!B:B,'001-EC-HR-HRBP-Job Information '!S:S,"")</f>
        <v>0</v>
      </c>
    </row>
    <row r="72" spans="31:36">
      <c r="AE72">
        <v>70</v>
      </c>
      <c r="AF72">
        <v>10366440</v>
      </c>
      <c r="AG72" t="s">
        <v>2364</v>
      </c>
      <c r="AH72" t="s">
        <v>2365</v>
      </c>
      <c r="AI72" t="s">
        <v>2242</v>
      </c>
      <c r="AJ72" t="str">
        <f>_xlfn.XLOOKUP(AF72,'001-EC-HR-HRBP-Job Information '!B:B,'001-EC-HR-HRBP-Job Information '!S:S,"")</f>
        <v>งานคลังสินค้า</v>
      </c>
    </row>
    <row r="73" spans="31:36">
      <c r="AE73">
        <v>71</v>
      </c>
      <c r="AF73">
        <v>10556230</v>
      </c>
      <c r="AG73" t="s">
        <v>2366</v>
      </c>
      <c r="AH73" t="s">
        <v>2367</v>
      </c>
      <c r="AI73" t="s">
        <v>2219</v>
      </c>
      <c r="AJ73" t="str">
        <f>_xlfn.XLOOKUP(AF73,'001-EC-HR-HRBP-Job Information '!B:B,'001-EC-HR-HRBP-Job Information '!S:S,"")</f>
        <v>งานคลังสินค้า</v>
      </c>
    </row>
    <row r="74" spans="31:36">
      <c r="AE74">
        <v>72</v>
      </c>
      <c r="AF74">
        <v>10415060</v>
      </c>
      <c r="AG74" t="s">
        <v>2368</v>
      </c>
      <c r="AH74" t="s">
        <v>2369</v>
      </c>
      <c r="AI74" t="s">
        <v>2234</v>
      </c>
      <c r="AJ74" t="str">
        <f>_xlfn.XLOOKUP(AF74,'001-EC-HR-HRBP-Job Information '!B:B,'001-EC-HR-HRBP-Job Information '!S:S,"")</f>
        <v>งานคลังสินค้า</v>
      </c>
    </row>
    <row r="75" spans="31:36">
      <c r="AE75">
        <v>73</v>
      </c>
      <c r="AF75">
        <v>10532723</v>
      </c>
      <c r="AG75" t="s">
        <v>2370</v>
      </c>
      <c r="AH75" t="s">
        <v>2371</v>
      </c>
      <c r="AI75" t="s">
        <v>2229</v>
      </c>
      <c r="AJ75" t="str">
        <f>_xlfn.XLOOKUP(AF75,'001-EC-HR-HRBP-Job Information '!B:B,'001-EC-HR-HRBP-Job Information '!S:S,"")</f>
        <v>งานคลังสินค้า</v>
      </c>
    </row>
    <row r="76" spans="31:36">
      <c r="AE76">
        <v>74</v>
      </c>
      <c r="AF76">
        <v>10658249</v>
      </c>
      <c r="AG76" t="s">
        <v>2372</v>
      </c>
      <c r="AH76" t="s">
        <v>2373</v>
      </c>
      <c r="AI76" t="s">
        <v>2295</v>
      </c>
      <c r="AJ76" t="str">
        <f>_xlfn.XLOOKUP(AF76,'001-EC-HR-HRBP-Job Information '!B:B,'001-EC-HR-HRBP-Job Information '!S:S,"")</f>
        <v>งานคลังสินค้า</v>
      </c>
    </row>
    <row r="77" spans="31:36">
      <c r="AE77">
        <v>75</v>
      </c>
      <c r="AF77">
        <v>10419548</v>
      </c>
      <c r="AG77" t="s">
        <v>2374</v>
      </c>
      <c r="AH77" t="s">
        <v>2375</v>
      </c>
      <c r="AI77" t="s">
        <v>2219</v>
      </c>
      <c r="AJ77" t="str">
        <f>_xlfn.XLOOKUP(AF77,'001-EC-HR-HRBP-Job Information '!B:B,'001-EC-HR-HRBP-Job Information '!S:S,"")</f>
        <v>งานคลังสินค้า</v>
      </c>
    </row>
    <row r="78" spans="31:36">
      <c r="AE78">
        <v>76</v>
      </c>
      <c r="AF78">
        <v>10556204</v>
      </c>
      <c r="AG78" t="s">
        <v>2374</v>
      </c>
      <c r="AH78" t="s">
        <v>2376</v>
      </c>
      <c r="AI78" t="s">
        <v>2204</v>
      </c>
      <c r="AJ78" t="str">
        <f>_xlfn.XLOOKUP(AF78,'001-EC-HR-HRBP-Job Information '!B:B,'001-EC-HR-HRBP-Job Information '!S:S,"")</f>
        <v>งานคลังสินค้า</v>
      </c>
    </row>
    <row r="79" spans="31:36">
      <c r="AE79">
        <v>77</v>
      </c>
      <c r="AG79" t="s">
        <v>2374</v>
      </c>
      <c r="AH79" t="s">
        <v>2377</v>
      </c>
      <c r="AI79" t="s">
        <v>2234</v>
      </c>
      <c r="AJ79">
        <f>_xlfn.XLOOKUP(AF79,'001-EC-HR-HRBP-Job Information '!B:B,'001-EC-HR-HRBP-Job Information '!S:S,"")</f>
        <v>0</v>
      </c>
    </row>
    <row r="80" spans="31:36">
      <c r="AE80">
        <v>78</v>
      </c>
      <c r="AF80">
        <v>10625426</v>
      </c>
      <c r="AG80" t="s">
        <v>2374</v>
      </c>
      <c r="AH80" t="s">
        <v>2378</v>
      </c>
      <c r="AI80" t="s">
        <v>2295</v>
      </c>
      <c r="AJ80" t="str">
        <f>_xlfn.XLOOKUP(AF80,'001-EC-HR-HRBP-Job Information '!B:B,'001-EC-HR-HRBP-Job Information '!S:S,"")</f>
        <v>งานคลังสินค้า</v>
      </c>
    </row>
    <row r="81" spans="31:36">
      <c r="AE81">
        <v>79</v>
      </c>
      <c r="AF81">
        <v>10388050</v>
      </c>
      <c r="AG81" t="s">
        <v>2379</v>
      </c>
      <c r="AH81" t="s">
        <v>2380</v>
      </c>
      <c r="AI81" t="s">
        <v>2204</v>
      </c>
      <c r="AJ81" t="str">
        <f>_xlfn.XLOOKUP(AF81,'001-EC-HR-HRBP-Job Information '!B:B,'001-EC-HR-HRBP-Job Information '!S:S,"")</f>
        <v>งานคลังสินค้า</v>
      </c>
    </row>
    <row r="82" spans="31:36">
      <c r="AE82">
        <v>80</v>
      </c>
      <c r="AF82">
        <v>10345846</v>
      </c>
      <c r="AG82" t="s">
        <v>2379</v>
      </c>
      <c r="AH82" t="s">
        <v>2381</v>
      </c>
      <c r="AI82" t="s">
        <v>2234</v>
      </c>
      <c r="AJ82" t="str">
        <f>_xlfn.XLOOKUP(AF82,'001-EC-HR-HRBP-Job Information '!B:B,'001-EC-HR-HRBP-Job Information '!S:S,"")</f>
        <v>งานคลังสินค้า</v>
      </c>
    </row>
    <row r="83" spans="31:36">
      <c r="AE83">
        <v>81</v>
      </c>
      <c r="AF83">
        <v>10647101</v>
      </c>
      <c r="AG83" t="s">
        <v>2379</v>
      </c>
      <c r="AH83" t="s">
        <v>2382</v>
      </c>
      <c r="AI83" t="s">
        <v>2295</v>
      </c>
      <c r="AJ83" t="str">
        <f>_xlfn.XLOOKUP(AF83,'001-EC-HR-HRBP-Job Information '!B:B,'001-EC-HR-HRBP-Job Information '!S:S,"")</f>
        <v>งานคลังสินค้า</v>
      </c>
    </row>
    <row r="84" spans="31:36">
      <c r="AE84">
        <v>82</v>
      </c>
      <c r="AF84">
        <v>10606751</v>
      </c>
      <c r="AG84" t="s">
        <v>2379</v>
      </c>
      <c r="AH84" t="s">
        <v>2383</v>
      </c>
      <c r="AI84" t="s">
        <v>2207</v>
      </c>
      <c r="AJ84" t="str">
        <f>_xlfn.XLOOKUP(AF84,'001-EC-HR-HRBP-Job Information '!B:B,'001-EC-HR-HRBP-Job Information '!S:S,"")</f>
        <v>งานคลังสินค้า</v>
      </c>
    </row>
  </sheetData>
  <autoFilter ref="AE1:AJ84" xr:uid="{5A19531B-DF17-4063-A378-24E885C57216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WUTTIPON PROMPRASERT</dc:creator>
  <cp:keywords/>
  <dc:description/>
  <cp:lastModifiedBy>CHOMPOOPAN JANTAWEE</cp:lastModifiedBy>
  <cp:revision/>
  <dcterms:created xsi:type="dcterms:W3CDTF">2026-04-24T09:33:47Z</dcterms:created>
  <dcterms:modified xsi:type="dcterms:W3CDTF">2026-06-04T05:28:35Z</dcterms:modified>
  <cp:category/>
  <cp:contentStatus/>
</cp:coreProperties>
</file>